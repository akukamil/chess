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adina\Desktop\chess\"/>
    </mc:Choice>
  </mc:AlternateContent>
  <xr:revisionPtr revIDLastSave="0" documentId="13_ncr:1_{2004C3C1-102F-4981-841C-2845E323972E}" xr6:coauthVersionLast="45" xr6:coauthVersionMax="45" xr10:uidLastSave="{00000000-0000-0000-0000-000000000000}"/>
  <bookViews>
    <workbookView minimized="1" xWindow="1350" yWindow="855" windowWidth="15375" windowHeight="7875" tabRatio="642" xr2:uid="{00000000-000D-0000-FFFF-FFFF00000000}"/>
  </bookViews>
  <sheets>
    <sheet name="2" sheetId="8" r:id="rId1"/>
    <sheet name="Лист1" sheetId="11" r:id="rId2"/>
    <sheet name="Лист2" sheetId="6" r:id="rId3"/>
    <sheet name="templates" sheetId="10" r:id="rId4"/>
    <sheet name="Лист3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" i="6" l="1" a="1"/>
  <c r="C14" i="6" s="1"/>
  <c r="D14" i="6" a="1"/>
  <c r="D14" i="6" s="1"/>
  <c r="E14" i="6" a="1"/>
  <c r="E14" i="6" s="1"/>
  <c r="F14" i="6" a="1"/>
  <c r="F14" i="6" s="1"/>
  <c r="G14" i="6" a="1"/>
  <c r="G14" i="6" s="1"/>
  <c r="H14" i="6" a="1"/>
  <c r="H14" i="6" s="1"/>
  <c r="I14" i="6" a="1"/>
  <c r="I14" i="6" s="1"/>
  <c r="J14" i="6" a="1"/>
  <c r="J14" i="6"/>
  <c r="C15" i="6" a="1"/>
  <c r="C15" i="6" s="1"/>
  <c r="D15" i="6" a="1"/>
  <c r="D15" i="6" s="1"/>
  <c r="E15" i="6" a="1"/>
  <c r="E15" i="6"/>
  <c r="F15" i="6" a="1"/>
  <c r="F15" i="6" s="1"/>
  <c r="G15" i="6" a="1"/>
  <c r="G15" i="6" s="1"/>
  <c r="H15" i="6" a="1"/>
  <c r="H15" i="6" s="1"/>
  <c r="I15" i="6" a="1"/>
  <c r="I15" i="6" s="1"/>
  <c r="J15" i="6" a="1"/>
  <c r="J15" i="6" s="1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H16" i="6" a="1"/>
  <c r="H16" i="6" s="1"/>
  <c r="I16" i="6" a="1"/>
  <c r="I16" i="6" s="1"/>
  <c r="J16" i="6" a="1"/>
  <c r="J16" i="6" s="1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H17" i="6" a="1"/>
  <c r="H17" i="6" s="1"/>
  <c r="I17" i="6" a="1"/>
  <c r="I17" i="6" s="1"/>
  <c r="J17" i="6" a="1"/>
  <c r="J17" i="6" s="1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H18" i="6" a="1"/>
  <c r="H18" i="6" s="1"/>
  <c r="I18" i="6" a="1"/>
  <c r="I18" i="6" s="1"/>
  <c r="J18" i="6" a="1"/>
  <c r="J18" i="6" s="1"/>
  <c r="C19" i="6" a="1"/>
  <c r="C19" i="6" s="1"/>
  <c r="D19" i="6" a="1"/>
  <c r="D19" i="6" s="1"/>
  <c r="E19" i="6" a="1"/>
  <c r="E19" i="6" s="1"/>
  <c r="F19" i="6" a="1"/>
  <c r="F19" i="6"/>
  <c r="G19" i="6" a="1"/>
  <c r="G19" i="6" s="1"/>
  <c r="H19" i="6" a="1"/>
  <c r="H19" i="6" s="1"/>
  <c r="I19" i="6" a="1"/>
  <c r="I19" i="6" s="1"/>
  <c r="J19" i="6" a="1"/>
  <c r="J19" i="6" s="1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D13" i="6" a="1"/>
  <c r="D13" i="6" s="1"/>
  <c r="E13" i="6" a="1"/>
  <c r="E13" i="6" s="1"/>
  <c r="F13" i="6" a="1"/>
  <c r="F13" i="6" s="1"/>
  <c r="G13" i="6" a="1"/>
  <c r="G13" i="6" s="1"/>
  <c r="H13" i="6" a="1"/>
  <c r="H13" i="6" s="1"/>
  <c r="I13" i="6" a="1"/>
  <c r="I13" i="6" s="1"/>
  <c r="J13" i="6" a="1"/>
  <c r="J13" i="6"/>
  <c r="C13" i="6" a="1"/>
  <c r="C13" i="6" s="1"/>
  <c r="D2" i="6" l="1"/>
  <c r="E2" i="6" s="1"/>
  <c r="F2" i="6" s="1"/>
  <c r="G2" i="6" s="1"/>
  <c r="H2" i="6" s="1"/>
  <c r="I2" i="6" s="1"/>
  <c r="J2" i="6" s="1"/>
  <c r="S38" i="6"/>
  <c r="T38" i="6"/>
  <c r="U38" i="6"/>
  <c r="V38" i="6"/>
  <c r="W38" i="6"/>
  <c r="X38" i="6"/>
  <c r="Y38" i="6"/>
  <c r="R38" i="6"/>
  <c r="L48" i="6"/>
  <c r="L47" i="6"/>
  <c r="L46" i="6"/>
  <c r="L45" i="6"/>
  <c r="L44" i="6"/>
  <c r="L43" i="6"/>
  <c r="L42" i="6"/>
  <c r="L41" i="6"/>
  <c r="M48" i="6" l="1"/>
  <c r="L13" i="6"/>
  <c r="C3" i="6" a="1"/>
  <c r="D3" i="6" a="1"/>
  <c r="E3" i="6" a="1"/>
  <c r="F3" i="6" a="1"/>
  <c r="G3" i="6" a="1"/>
  <c r="H3" i="6" a="1"/>
  <c r="H3" i="6" s="1"/>
  <c r="I3" i="6" a="1"/>
  <c r="J3" i="6" a="1"/>
  <c r="C4" i="6" a="1"/>
  <c r="D4" i="6" a="1"/>
  <c r="E4" i="6" a="1"/>
  <c r="F4" i="6" a="1"/>
  <c r="G4" i="6" a="1"/>
  <c r="H4" i="6" a="1"/>
  <c r="I4" i="6" a="1"/>
  <c r="J4" i="6" a="1"/>
  <c r="C5" i="6" a="1"/>
  <c r="D5" i="6" a="1"/>
  <c r="E5" i="6" a="1"/>
  <c r="F5" i="6" a="1"/>
  <c r="G5" i="6" a="1"/>
  <c r="H5" i="6" a="1"/>
  <c r="I5" i="6" a="1"/>
  <c r="J5" i="6" a="1"/>
  <c r="C6" i="6" a="1"/>
  <c r="D6" i="6" a="1"/>
  <c r="E6" i="6" a="1"/>
  <c r="F6" i="6" a="1"/>
  <c r="G6" i="6" a="1"/>
  <c r="H6" i="6" a="1"/>
  <c r="I6" i="6" a="1"/>
  <c r="J6" i="6" a="1"/>
  <c r="C7" i="6" a="1"/>
  <c r="D7" i="6" a="1"/>
  <c r="E7" i="6" a="1"/>
  <c r="F7" i="6" a="1"/>
  <c r="G7" i="6" a="1"/>
  <c r="H7" i="6" a="1"/>
  <c r="I7" i="6" a="1"/>
  <c r="J7" i="6" a="1"/>
  <c r="C8" i="6" a="1"/>
  <c r="D8" i="6" a="1"/>
  <c r="E8" i="6" a="1"/>
  <c r="F8" i="6" a="1"/>
  <c r="G8" i="6" a="1"/>
  <c r="H8" i="6" a="1"/>
  <c r="I8" i="6" a="1"/>
  <c r="J8" i="6" a="1"/>
  <c r="C9" i="6" a="1"/>
  <c r="D9" i="6" a="1"/>
  <c r="E9" i="6" a="1"/>
  <c r="F9" i="6" a="1"/>
  <c r="G9" i="6" a="1"/>
  <c r="H9" i="6" a="1"/>
  <c r="I9" i="6" a="1"/>
  <c r="J9" i="6" a="1"/>
  <c r="C10" i="6" a="1"/>
  <c r="D10" i="6" a="1"/>
  <c r="E10" i="6" a="1"/>
  <c r="F10" i="6" a="1"/>
  <c r="G10" i="6" a="1"/>
  <c r="H10" i="6" a="1"/>
  <c r="I10" i="6" a="1"/>
  <c r="J10" i="6" a="1"/>
  <c r="E10" i="6" l="1"/>
  <c r="E4" i="6"/>
  <c r="E8" i="6"/>
  <c r="J6" i="6"/>
  <c r="J10" i="6"/>
  <c r="J9" i="6"/>
  <c r="E7" i="6"/>
  <c r="J5" i="6"/>
  <c r="E3" i="6"/>
  <c r="J8" i="6"/>
  <c r="E6" i="6"/>
  <c r="J4" i="6"/>
  <c r="E9" i="6"/>
  <c r="J7" i="6"/>
  <c r="E5" i="6"/>
  <c r="J3" i="6"/>
  <c r="G9" i="6"/>
  <c r="G8" i="6"/>
  <c r="G7" i="6"/>
  <c r="G6" i="6"/>
  <c r="G5" i="6"/>
  <c r="G4" i="6"/>
  <c r="G3" i="6"/>
  <c r="I10" i="6"/>
  <c r="F10" i="6"/>
  <c r="I9" i="6"/>
  <c r="F9" i="6"/>
  <c r="I8" i="6"/>
  <c r="F8" i="6"/>
  <c r="I7" i="6"/>
  <c r="F7" i="6"/>
  <c r="I6" i="6"/>
  <c r="F6" i="6"/>
  <c r="I5" i="6"/>
  <c r="F5" i="6"/>
  <c r="I4" i="6"/>
  <c r="F4" i="6"/>
  <c r="I3" i="6"/>
  <c r="F3" i="6"/>
  <c r="G10" i="6"/>
  <c r="H10" i="6"/>
  <c r="C10" i="6"/>
  <c r="H9" i="6"/>
  <c r="C9" i="6"/>
  <c r="H8" i="6"/>
  <c r="C8" i="6"/>
  <c r="H7" i="6"/>
  <c r="C7" i="6"/>
  <c r="H6" i="6"/>
  <c r="C6" i="6"/>
  <c r="H5" i="6"/>
  <c r="C5" i="6"/>
  <c r="H4" i="6"/>
  <c r="C4" i="6"/>
  <c r="C3" i="6"/>
  <c r="L30" i="6"/>
  <c r="L29" i="6"/>
  <c r="L28" i="6"/>
  <c r="L27" i="6"/>
  <c r="L26" i="6"/>
  <c r="L25" i="6"/>
  <c r="L24" i="6"/>
  <c r="L23" i="6"/>
  <c r="L51" i="6" l="1" a="1"/>
  <c r="L51" i="6" s="1"/>
  <c r="L20" i="6"/>
  <c r="L15" i="6"/>
  <c r="L18" i="6"/>
  <c r="L14" i="6"/>
  <c r="L16" i="6"/>
  <c r="L19" i="6"/>
  <c r="L17" i="6"/>
  <c r="M20" i="6" l="1"/>
  <c r="D6" i="6"/>
  <c r="L6" i="6" s="1"/>
  <c r="D9" i="6"/>
  <c r="L9" i="6" s="1"/>
  <c r="D7" i="6"/>
  <c r="L7" i="6" s="1"/>
  <c r="D4" i="6"/>
  <c r="L4" i="6" s="1"/>
  <c r="D10" i="6"/>
  <c r="L10" i="6" s="1"/>
  <c r="D5" i="6"/>
  <c r="L5" i="6" s="1"/>
  <c r="D3" i="6"/>
  <c r="L3" i="6" s="1"/>
  <c r="D8" i="6"/>
  <c r="L8" i="6" s="1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<sst xmlns="http://schemas.openxmlformats.org/spreadsheetml/2006/main" count="1" uniqueCount="1">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</sst>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3" xfId="0" applyNumberFormat="1" applyFill="1" applyBorder="1" applyAlignment="1">
      <alignment horizontal="center" vertical="center"/>
    </xf>
    <xf numFmtId="0" fontId="0" fillId="0" borderId="0" xfId="0" applyFill="1"/>
    <xf numFmtId="0" fontId="0" fillId="3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604900"/>
      <color rgb="FF3A4472"/>
      <color rgb="FF3A440E"/>
      <color rgb="FFD1E5D1"/>
      <color rgb="FFB7D7B7"/>
      <color rgb="FF99C799"/>
      <color rgb="FF79B579"/>
      <color rgb="FF559955"/>
      <color rgb="FF404040"/>
      <color rgb="FF525E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://pngimg.com/download/33158" TargetMode="External"/><Relationship Id="rId7" Type="http://schemas.openxmlformats.org/officeDocument/2006/relationships/image" Target="../media/image6.png"/><Relationship Id="rId12" Type="http://schemas.openxmlformats.org/officeDocument/2006/relationships/image" Target="../media/image1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microsoft.com/office/2007/relationships/hdphoto" Target="../media/hdphoto1.wdp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8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85</xdr:col>
      <xdr:colOff>0</xdr:colOff>
      <xdr:row>50</xdr:row>
      <xdr:rowOff>0</xdr:rowOff>
    </xdr:to>
    <xdr:grpSp>
      <xdr:nvGrpSpPr>
        <xdr:cNvPr id="208" name="desktop#spriteTOP" title="desktop#sprite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GrpSpPr/>
      </xdr:nvGrpSpPr>
      <xdr:grpSpPr>
        <a:xfrm>
          <a:off x="285750" y="285750"/>
          <a:ext cx="7810500" cy="4476750"/>
          <a:chOff x="285750" y="285750"/>
          <a:chExt cx="7810500" cy="4476750"/>
        </a:xfrm>
      </xdr:grpSpPr>
      <xdr:sp macro="" textlink="">
        <xdr:nvSpPr>
          <xdr:cNvPr id="3" name="objec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81000" y="381000"/>
            <a:ext cx="7620000" cy="4286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prstTxWarp prst="textDeflateInflate">
              <a:avLst/>
            </a:prstTxWarp>
          </a:bodyPr>
          <a:lstStyle/>
          <a:p>
            <a:pPr algn="ctr"/>
            <a:r>
              <a:rPr lang="en-US" sz="2000" b="1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*</a:t>
            </a:r>
            <a:r>
              <a:rPr lang="ru-RU" sz="2000" b="1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Шахматы - блиц</a:t>
            </a:r>
            <a:r>
              <a:rPr lang="en-US" sz="2000" b="1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*            </a:t>
            </a:r>
            <a:endParaRPr lang="ru-RU" sz="3200" b="1">
              <a:solidFill>
                <a:schemeClr val="bg2">
                  <a:lumMod val="9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104" name="desktop#sprite" descr="objects[obj_name].x=$x;&#10;objects[obj_name].y=$y;&#10;#app.stage.addChild(objects[obj_name]);#png" title="desktop#sprite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285750" y="28575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07" name="object">
            <a:extLst>
              <a:ext uri="{FF2B5EF4-FFF2-40B4-BE49-F238E27FC236}">
                <a16:creationId xmlns:a16="http://schemas.microsoft.com/office/drawing/2014/main" id="{00000000-0008-0000-0000-0000CF000000}"/>
              </a:ext>
            </a:extLst>
          </xdr:cNvPr>
          <xdr:cNvSpPr/>
        </xdr:nvSpPr>
        <xdr:spPr>
          <a:xfrm>
            <a:off x="1095375" y="2295525"/>
            <a:ext cx="6200776" cy="285750"/>
          </a:xfrm>
          <a:custGeom>
            <a:avLst/>
            <a:gdLst>
              <a:gd name="connsiteX0" fmla="*/ 0 w 6200776"/>
              <a:gd name="connsiteY0" fmla="*/ 76200 h 152400"/>
              <a:gd name="connsiteX1" fmla="*/ 3100388 w 6200776"/>
              <a:gd name="connsiteY1" fmla="*/ 0 h 152400"/>
              <a:gd name="connsiteX2" fmla="*/ 6200776 w 6200776"/>
              <a:gd name="connsiteY2" fmla="*/ 76200 h 152400"/>
              <a:gd name="connsiteX3" fmla="*/ 3100388 w 6200776"/>
              <a:gd name="connsiteY3" fmla="*/ 152400 h 152400"/>
              <a:gd name="connsiteX4" fmla="*/ 0 w 6200776"/>
              <a:gd name="connsiteY4" fmla="*/ 76200 h 152400"/>
              <a:gd name="connsiteX0" fmla="*/ 0 w 6200776"/>
              <a:gd name="connsiteY0" fmla="*/ 209550 h 285750"/>
              <a:gd name="connsiteX1" fmla="*/ 3128963 w 6200776"/>
              <a:gd name="connsiteY1" fmla="*/ 0 h 285750"/>
              <a:gd name="connsiteX2" fmla="*/ 6200776 w 6200776"/>
              <a:gd name="connsiteY2" fmla="*/ 209550 h 285750"/>
              <a:gd name="connsiteX3" fmla="*/ 3100388 w 6200776"/>
              <a:gd name="connsiteY3" fmla="*/ 285750 h 285750"/>
              <a:gd name="connsiteX4" fmla="*/ 0 w 6200776"/>
              <a:gd name="connsiteY4" fmla="*/ 209550 h 285750"/>
              <a:gd name="connsiteX0" fmla="*/ 0 w 6200776"/>
              <a:gd name="connsiteY0" fmla="*/ 209550 h 285750"/>
              <a:gd name="connsiteX1" fmla="*/ 3128963 w 6200776"/>
              <a:gd name="connsiteY1" fmla="*/ 0 h 285750"/>
              <a:gd name="connsiteX2" fmla="*/ 6200776 w 6200776"/>
              <a:gd name="connsiteY2" fmla="*/ 209550 h 285750"/>
              <a:gd name="connsiteX3" fmla="*/ 3100388 w 6200776"/>
              <a:gd name="connsiteY3" fmla="*/ 285750 h 285750"/>
              <a:gd name="connsiteX4" fmla="*/ 0 w 6200776"/>
              <a:gd name="connsiteY4" fmla="*/ 209550 h 285750"/>
              <a:gd name="connsiteX0" fmla="*/ 0 w 6200776"/>
              <a:gd name="connsiteY0" fmla="*/ 209550 h 285750"/>
              <a:gd name="connsiteX1" fmla="*/ 3128963 w 6200776"/>
              <a:gd name="connsiteY1" fmla="*/ 0 h 285750"/>
              <a:gd name="connsiteX2" fmla="*/ 6200776 w 6200776"/>
              <a:gd name="connsiteY2" fmla="*/ 209550 h 285750"/>
              <a:gd name="connsiteX3" fmla="*/ 3100388 w 6200776"/>
              <a:gd name="connsiteY3" fmla="*/ 285750 h 285750"/>
              <a:gd name="connsiteX4" fmla="*/ 0 w 6200776"/>
              <a:gd name="connsiteY4" fmla="*/ 209550 h 2857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200776" h="285750">
                <a:moveTo>
                  <a:pt x="0" y="209550"/>
                </a:moveTo>
                <a:cubicBezTo>
                  <a:pt x="1042988" y="139700"/>
                  <a:pt x="2533650" y="146050"/>
                  <a:pt x="3128963" y="0"/>
                </a:cubicBezTo>
                <a:cubicBezTo>
                  <a:pt x="3571876" y="127000"/>
                  <a:pt x="5176838" y="139700"/>
                  <a:pt x="6200776" y="209550"/>
                </a:cubicBezTo>
                <a:lnTo>
                  <a:pt x="3100388" y="285750"/>
                </a:lnTo>
                <a:lnTo>
                  <a:pt x="0" y="209550"/>
                </a:lnTo>
                <a:close/>
              </a:path>
            </a:pathLst>
          </a:custGeom>
          <a:solidFill>
            <a:schemeClr val="bg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16" name="Группа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 rot="2700000">
            <a:off x="3910713" y="2223387"/>
            <a:ext cx="571500" cy="571500"/>
            <a:chOff x="10287000" y="2000250"/>
            <a:chExt cx="571500" cy="571500"/>
          </a:xfrm>
        </xdr:grpSpPr>
        <xdr:sp macro="" textlink="">
          <xdr:nvSpPr>
            <xdr:cNvPr id="13" name="object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10287000" y="2000250"/>
              <a:ext cx="285750" cy="2857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1" name="object">
              <a:extLst>
                <a:ext uri="{FF2B5EF4-FFF2-40B4-BE49-F238E27FC236}">
                  <a16:creationId xmlns:a16="http://schemas.microsoft.com/office/drawing/2014/main" id="{00000000-0008-0000-0000-000019010000}"/>
                </a:ext>
              </a:extLst>
            </xdr:cNvPr>
            <xdr:cNvSpPr/>
          </xdr:nvSpPr>
          <xdr:spPr>
            <a:xfrm>
              <a:off x="10572750" y="2000250"/>
              <a:ext cx="285750" cy="285750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2" name="object">
              <a:extLst>
                <a:ext uri="{FF2B5EF4-FFF2-40B4-BE49-F238E27FC236}">
                  <a16:creationId xmlns:a16="http://schemas.microsoft.com/office/drawing/2014/main" id="{00000000-0008-0000-0000-00001A010000}"/>
                </a:ext>
              </a:extLst>
            </xdr:cNvPr>
            <xdr:cNvSpPr/>
          </xdr:nvSpPr>
          <xdr:spPr>
            <a:xfrm>
              <a:off x="10287000" y="2286000"/>
              <a:ext cx="285750" cy="285750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3" name="object">
              <a:extLst>
                <a:ext uri="{FF2B5EF4-FFF2-40B4-BE49-F238E27FC236}">
                  <a16:creationId xmlns:a16="http://schemas.microsoft.com/office/drawing/2014/main" id="{00000000-0008-0000-0000-00001B010000}"/>
                </a:ext>
              </a:extLst>
            </xdr:cNvPr>
            <xdr:cNvSpPr/>
          </xdr:nvSpPr>
          <xdr:spPr>
            <a:xfrm>
              <a:off x="10572750" y="2286000"/>
              <a:ext cx="285750" cy="2857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" name="object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10287000" y="2000250"/>
              <a:ext cx="571500" cy="571500"/>
            </a:xfrm>
            <a:prstGeom prst="roundRect">
              <a:avLst>
                <a:gd name="adj" fmla="val 7500"/>
              </a:avLst>
            </a:prstGeom>
            <a:noFill/>
            <a:ln w="57150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object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0344150" y="2314575"/>
              <a:ext cx="190500" cy="190500"/>
            </a:xfrm>
            <a:prstGeom prst="ellipse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5" name="object">
              <a:extLst>
                <a:ext uri="{FF2B5EF4-FFF2-40B4-BE49-F238E27FC236}">
                  <a16:creationId xmlns:a16="http://schemas.microsoft.com/office/drawing/2014/main" id="{00000000-0008-0000-0000-00001D010000}"/>
                </a:ext>
              </a:extLst>
            </xdr:cNvPr>
            <xdr:cNvSpPr/>
          </xdr:nvSpPr>
          <xdr:spPr>
            <a:xfrm>
              <a:off x="10344150" y="2057400"/>
              <a:ext cx="190500" cy="190500"/>
            </a:xfrm>
            <a:prstGeom prst="ellipse">
              <a:avLst/>
            </a:prstGeom>
            <a:solidFill>
              <a:schemeClr val="bg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6" name="object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SpPr/>
          </xdr:nvSpPr>
          <xdr:spPr>
            <a:xfrm>
              <a:off x="10601325" y="2057400"/>
              <a:ext cx="190500" cy="190500"/>
            </a:xfrm>
            <a:prstGeom prst="ellipse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7" name="object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10601325" y="2314575"/>
              <a:ext cx="190500" cy="190500"/>
            </a:xfrm>
            <a:prstGeom prst="ellipse">
              <a:avLst/>
            </a:prstGeom>
            <a:solidFill>
              <a:schemeClr val="bg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11</xdr:col>
      <xdr:colOff>47625</xdr:colOff>
      <xdr:row>30</xdr:row>
      <xdr:rowOff>0</xdr:rowOff>
    </xdr:from>
    <xdr:to>
      <xdr:col>76</xdr:col>
      <xdr:colOff>47625</xdr:colOff>
      <xdr:row>49</xdr:row>
      <xdr:rowOff>0</xdr:rowOff>
    </xdr:to>
    <xdr:grpSp>
      <xdr:nvGrpSpPr>
        <xdr:cNvPr id="151" name="main_buttons_cont#contTOP">
          <a:extLst>
            <a:ext uri="{FF2B5EF4-FFF2-40B4-BE49-F238E27FC236}">
              <a16:creationId xmlns:a16="http://schemas.microsoft.com/office/drawing/2014/main" id="{F6EDDC6E-94C9-4EA2-BD38-187DD0E26BB8}"/>
            </a:ext>
          </a:extLst>
        </xdr:cNvPr>
        <xdr:cNvGrpSpPr/>
      </xdr:nvGrpSpPr>
      <xdr:grpSpPr>
        <a:xfrm>
          <a:off x="1095375" y="2857500"/>
          <a:ext cx="6191250" cy="1809750"/>
          <a:chOff x="1095375" y="2857500"/>
          <a:chExt cx="6191250" cy="1809750"/>
        </a:xfrm>
      </xdr:grpSpPr>
      <xdr:grpSp>
        <xdr:nvGrpSpPr>
          <xdr:cNvPr id="7" name="play_button#spriteTOP" title="play_button#sprite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1190625" y="2952749"/>
            <a:ext cx="1333500" cy="1428751"/>
            <a:chOff x="12573000" y="2667000"/>
            <a:chExt cx="1333500" cy="1326697"/>
          </a:xfrm>
        </xdr:grpSpPr>
        <xdr:sp macro="" textlink="">
          <xdr:nvSpPr>
            <xdr:cNvPr id="4" name="object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12763500" y="2755446"/>
              <a:ext cx="952500" cy="884463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" name="object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12573000" y="3639912"/>
              <a:ext cx="1333499" cy="35378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>
                  <a:solidFill>
                    <a:schemeClr val="bg1">
                      <a:lumMod val="8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Играть</a:t>
              </a:r>
              <a:endParaRPr lang="ru-RU" sz="1600">
                <a:solidFill>
                  <a:schemeClr val="bg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6" name="objec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13049250" y="2932338"/>
              <a:ext cx="476250" cy="530679"/>
            </a:xfrm>
            <a:custGeom>
              <a:avLst/>
              <a:gdLst>
                <a:gd name="connsiteX0" fmla="*/ 0 w 666750"/>
                <a:gd name="connsiteY0" fmla="*/ 0 h 523875"/>
                <a:gd name="connsiteX1" fmla="*/ 666750 w 666750"/>
                <a:gd name="connsiteY1" fmla="*/ 0 h 523875"/>
                <a:gd name="connsiteX2" fmla="*/ 666750 w 666750"/>
                <a:gd name="connsiteY2" fmla="*/ 523875 h 523875"/>
                <a:gd name="connsiteX3" fmla="*/ 0 w 666750"/>
                <a:gd name="connsiteY3" fmla="*/ 523875 h 523875"/>
                <a:gd name="connsiteX4" fmla="*/ 0 w 666750"/>
                <a:gd name="connsiteY4" fmla="*/ 0 h 523875"/>
                <a:gd name="connsiteX0" fmla="*/ 0 w 666750"/>
                <a:gd name="connsiteY0" fmla="*/ 0 h 523875"/>
                <a:gd name="connsiteX1" fmla="*/ 666750 w 666750"/>
                <a:gd name="connsiteY1" fmla="*/ 523875 h 523875"/>
                <a:gd name="connsiteX2" fmla="*/ 0 w 666750"/>
                <a:gd name="connsiteY2" fmla="*/ 523875 h 523875"/>
                <a:gd name="connsiteX3" fmla="*/ 0 w 666750"/>
                <a:gd name="connsiteY3" fmla="*/ 0 h 523875"/>
                <a:gd name="connsiteX0" fmla="*/ 0 w 381000"/>
                <a:gd name="connsiteY0" fmla="*/ 0 h 523875"/>
                <a:gd name="connsiteX1" fmla="*/ 381000 w 381000"/>
                <a:gd name="connsiteY1" fmla="*/ 285750 h 523875"/>
                <a:gd name="connsiteX2" fmla="*/ 0 w 381000"/>
                <a:gd name="connsiteY2" fmla="*/ 523875 h 523875"/>
                <a:gd name="connsiteX3" fmla="*/ 0 w 381000"/>
                <a:gd name="connsiteY3" fmla="*/ 0 h 523875"/>
                <a:gd name="connsiteX0" fmla="*/ 0 w 381000"/>
                <a:gd name="connsiteY0" fmla="*/ 0 h 428625"/>
                <a:gd name="connsiteX1" fmla="*/ 381000 w 381000"/>
                <a:gd name="connsiteY1" fmla="*/ 190500 h 428625"/>
                <a:gd name="connsiteX2" fmla="*/ 0 w 381000"/>
                <a:gd name="connsiteY2" fmla="*/ 428625 h 428625"/>
                <a:gd name="connsiteX3" fmla="*/ 0 w 381000"/>
                <a:gd name="connsiteY3" fmla="*/ 0 h 428625"/>
                <a:gd name="connsiteX0" fmla="*/ 0 w 310445"/>
                <a:gd name="connsiteY0" fmla="*/ 0 h 428625"/>
                <a:gd name="connsiteX1" fmla="*/ 310445 w 310445"/>
                <a:gd name="connsiteY1" fmla="*/ 184234 h 428625"/>
                <a:gd name="connsiteX2" fmla="*/ 0 w 310445"/>
                <a:gd name="connsiteY2" fmla="*/ 428625 h 428625"/>
                <a:gd name="connsiteX3" fmla="*/ 0 w 310445"/>
                <a:gd name="connsiteY3" fmla="*/ 0 h 428625"/>
                <a:gd name="connsiteX0" fmla="*/ 0 w 352777"/>
                <a:gd name="connsiteY0" fmla="*/ 0 h 428625"/>
                <a:gd name="connsiteX1" fmla="*/ 352777 w 352777"/>
                <a:gd name="connsiteY1" fmla="*/ 214314 h 428625"/>
                <a:gd name="connsiteX2" fmla="*/ 0 w 352777"/>
                <a:gd name="connsiteY2" fmla="*/ 428625 h 428625"/>
                <a:gd name="connsiteX3" fmla="*/ 0 w 352777"/>
                <a:gd name="connsiteY3" fmla="*/ 0 h 428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52777" h="428625">
                  <a:moveTo>
                    <a:pt x="0" y="0"/>
                  </a:moveTo>
                  <a:lnTo>
                    <a:pt x="352777" y="214314"/>
                  </a:lnTo>
                  <a:lnTo>
                    <a:pt x="0" y="42862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65" name="play_button#sprite" descr="objects[obj_name].x=$x;&#10;objects[obj_name].y=$y;&#10;objects[obj_name].base_tint=objects[obj_name].tint;&#10;objects[obj_name].buttonMode=true;&#10;objects[obj_name].interactive=true;&#10;objects[obj_name].pointerdown=function(){main_menu.play_button_down()};&#10;objects[obj_name].pointerover=function(){this.tint=0x55ffff};&#10;objects[obj_name].pointerout=function(){this.tint=this.base_tint};#app.stage.addChild(objects[obj_name]);#png" title="play_button#sprite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SpPr/>
          </xdr:nvSpPr>
          <xdr:spPr>
            <a:xfrm>
              <a:off x="12573000" y="2667000"/>
              <a:ext cx="1333500" cy="1326697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8" name="lb_button#spriteTOP" title="lb_button#spri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2714625" y="2952749"/>
            <a:ext cx="1333500" cy="1428749"/>
            <a:chOff x="13827125" y="2586403"/>
            <a:chExt cx="1111250" cy="1208941"/>
          </a:xfrm>
        </xdr:grpSpPr>
        <xdr:sp macro="" textlink="">
          <xdr:nvSpPr>
            <xdr:cNvPr id="168" name="object">
              <a:extLst>
                <a:ext uri="{FF2B5EF4-FFF2-40B4-BE49-F238E27FC236}">
                  <a16:creationId xmlns:a16="http://schemas.microsoft.com/office/drawing/2014/main" id="{00000000-0008-0000-0000-0000A8000000}"/>
                </a:ext>
              </a:extLst>
            </xdr:cNvPr>
            <xdr:cNvSpPr/>
          </xdr:nvSpPr>
          <xdr:spPr>
            <a:xfrm>
              <a:off x="13985875" y="2675058"/>
              <a:ext cx="793750" cy="797902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69" name="object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/>
          </xdr:nvSpPr>
          <xdr:spPr>
            <a:xfrm>
              <a:off x="13827125" y="3472960"/>
              <a:ext cx="1111250" cy="32238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>
                  <a:solidFill>
                    <a:schemeClr val="bg1">
                      <a:lumMod val="8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Лидеры</a:t>
              </a:r>
              <a:endParaRPr lang="ru-RU" sz="1600">
                <a:solidFill>
                  <a:schemeClr val="bg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70" name="object">
              <a:extLst>
                <a:ext uri="{FF2B5EF4-FFF2-40B4-BE49-F238E27FC236}">
                  <a16:creationId xmlns:a16="http://schemas.microsoft.com/office/drawing/2014/main" id="{00000000-0008-0000-0000-0000AA000000}"/>
                </a:ext>
              </a:extLst>
            </xdr:cNvPr>
            <xdr:cNvSpPr/>
          </xdr:nvSpPr>
          <xdr:spPr>
            <a:xfrm>
              <a:off x="14141450" y="2898531"/>
              <a:ext cx="503238" cy="340701"/>
            </a:xfrm>
            <a:custGeom>
              <a:avLst/>
              <a:gdLst>
                <a:gd name="connsiteX0" fmla="*/ 0 w 666750"/>
                <a:gd name="connsiteY0" fmla="*/ 0 h 523875"/>
                <a:gd name="connsiteX1" fmla="*/ 666750 w 666750"/>
                <a:gd name="connsiteY1" fmla="*/ 0 h 523875"/>
                <a:gd name="connsiteX2" fmla="*/ 666750 w 666750"/>
                <a:gd name="connsiteY2" fmla="*/ 523875 h 523875"/>
                <a:gd name="connsiteX3" fmla="*/ 0 w 666750"/>
                <a:gd name="connsiteY3" fmla="*/ 523875 h 523875"/>
                <a:gd name="connsiteX4" fmla="*/ 0 w 666750"/>
                <a:gd name="connsiteY4" fmla="*/ 0 h 523875"/>
                <a:gd name="connsiteX0" fmla="*/ 0 w 666750"/>
                <a:gd name="connsiteY0" fmla="*/ 0 h 523875"/>
                <a:gd name="connsiteX1" fmla="*/ 666750 w 666750"/>
                <a:gd name="connsiteY1" fmla="*/ 523875 h 523875"/>
                <a:gd name="connsiteX2" fmla="*/ 0 w 666750"/>
                <a:gd name="connsiteY2" fmla="*/ 523875 h 523875"/>
                <a:gd name="connsiteX3" fmla="*/ 0 w 666750"/>
                <a:gd name="connsiteY3" fmla="*/ 0 h 523875"/>
                <a:gd name="connsiteX0" fmla="*/ 0 w 381000"/>
                <a:gd name="connsiteY0" fmla="*/ 0 h 523875"/>
                <a:gd name="connsiteX1" fmla="*/ 381000 w 381000"/>
                <a:gd name="connsiteY1" fmla="*/ 285750 h 523875"/>
                <a:gd name="connsiteX2" fmla="*/ 0 w 381000"/>
                <a:gd name="connsiteY2" fmla="*/ 523875 h 523875"/>
                <a:gd name="connsiteX3" fmla="*/ 0 w 381000"/>
                <a:gd name="connsiteY3" fmla="*/ 0 h 523875"/>
                <a:gd name="connsiteX0" fmla="*/ 0 w 381000"/>
                <a:gd name="connsiteY0" fmla="*/ 0 h 428625"/>
                <a:gd name="connsiteX1" fmla="*/ 381000 w 381000"/>
                <a:gd name="connsiteY1" fmla="*/ 190500 h 428625"/>
                <a:gd name="connsiteX2" fmla="*/ 0 w 381000"/>
                <a:gd name="connsiteY2" fmla="*/ 428625 h 428625"/>
                <a:gd name="connsiteX3" fmla="*/ 0 w 381000"/>
                <a:gd name="connsiteY3" fmla="*/ 0 h 428625"/>
                <a:gd name="connsiteX0" fmla="*/ 0 w 825500"/>
                <a:gd name="connsiteY0" fmla="*/ 0 h 428625"/>
                <a:gd name="connsiteX1" fmla="*/ 825500 w 825500"/>
                <a:gd name="connsiteY1" fmla="*/ 428625 h 428625"/>
                <a:gd name="connsiteX2" fmla="*/ 0 w 825500"/>
                <a:gd name="connsiteY2" fmla="*/ 428625 h 428625"/>
                <a:gd name="connsiteX3" fmla="*/ 0 w 825500"/>
                <a:gd name="connsiteY3" fmla="*/ 0 h 428625"/>
                <a:gd name="connsiteX0" fmla="*/ 0 w 825500"/>
                <a:gd name="connsiteY0" fmla="*/ 0 h 428625"/>
                <a:gd name="connsiteX1" fmla="*/ 266700 w 825500"/>
                <a:gd name="connsiteY1" fmla="*/ 157163 h 428625"/>
                <a:gd name="connsiteX2" fmla="*/ 825500 w 825500"/>
                <a:gd name="connsiteY2" fmla="*/ 428625 h 428625"/>
                <a:gd name="connsiteX3" fmla="*/ 0 w 825500"/>
                <a:gd name="connsiteY3" fmla="*/ 428625 h 428625"/>
                <a:gd name="connsiteX4" fmla="*/ 0 w 825500"/>
                <a:gd name="connsiteY4" fmla="*/ 0 h 428625"/>
                <a:gd name="connsiteX0" fmla="*/ 0 w 825500"/>
                <a:gd name="connsiteY0" fmla="*/ 0 h 428625"/>
                <a:gd name="connsiteX1" fmla="*/ 254000 w 825500"/>
                <a:gd name="connsiteY1" fmla="*/ 0 h 428625"/>
                <a:gd name="connsiteX2" fmla="*/ 825500 w 825500"/>
                <a:gd name="connsiteY2" fmla="*/ 428625 h 428625"/>
                <a:gd name="connsiteX3" fmla="*/ 0 w 825500"/>
                <a:gd name="connsiteY3" fmla="*/ 428625 h 428625"/>
                <a:gd name="connsiteX4" fmla="*/ 0 w 825500"/>
                <a:gd name="connsiteY4" fmla="*/ 0 h 428625"/>
                <a:gd name="connsiteX0" fmla="*/ 0 w 825500"/>
                <a:gd name="connsiteY0" fmla="*/ 0 h 428625"/>
                <a:gd name="connsiteX1" fmla="*/ 254000 w 825500"/>
                <a:gd name="connsiteY1" fmla="*/ 0 h 428625"/>
                <a:gd name="connsiteX2" fmla="*/ 622300 w 825500"/>
                <a:gd name="connsiteY2" fmla="*/ 257175 h 428625"/>
                <a:gd name="connsiteX3" fmla="*/ 825500 w 825500"/>
                <a:gd name="connsiteY3" fmla="*/ 428625 h 428625"/>
                <a:gd name="connsiteX4" fmla="*/ 0 w 825500"/>
                <a:gd name="connsiteY4" fmla="*/ 428625 h 428625"/>
                <a:gd name="connsiteX5" fmla="*/ 0 w 825500"/>
                <a:gd name="connsiteY5" fmla="*/ 0 h 42862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825500 w 825500"/>
                <a:gd name="connsiteY3" fmla="*/ 714375 h 714375"/>
                <a:gd name="connsiteX4" fmla="*/ 0 w 825500"/>
                <a:gd name="connsiteY4" fmla="*/ 714375 h 714375"/>
                <a:gd name="connsiteX5" fmla="*/ 0 w 825500"/>
                <a:gd name="connsiteY5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84200 w 825500"/>
                <a:gd name="connsiteY3" fmla="*/ 457200 h 714375"/>
                <a:gd name="connsiteX4" fmla="*/ 825500 w 825500"/>
                <a:gd name="connsiteY4" fmla="*/ 714375 h 714375"/>
                <a:gd name="connsiteX5" fmla="*/ 0 w 825500"/>
                <a:gd name="connsiteY5" fmla="*/ 714375 h 714375"/>
                <a:gd name="connsiteX6" fmla="*/ 0 w 825500"/>
                <a:gd name="connsiteY6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825500 w 825500"/>
                <a:gd name="connsiteY4" fmla="*/ 714375 h 714375"/>
                <a:gd name="connsiteX5" fmla="*/ 0 w 825500"/>
                <a:gd name="connsiteY5" fmla="*/ 714375 h 714375"/>
                <a:gd name="connsiteX6" fmla="*/ 0 w 825500"/>
                <a:gd name="connsiteY6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723900 w 825500"/>
                <a:gd name="connsiteY4" fmla="*/ 457200 h 714375"/>
                <a:gd name="connsiteX5" fmla="*/ 825500 w 825500"/>
                <a:gd name="connsiteY5" fmla="*/ 714375 h 714375"/>
                <a:gd name="connsiteX6" fmla="*/ 0 w 825500"/>
                <a:gd name="connsiteY6" fmla="*/ 714375 h 714375"/>
                <a:gd name="connsiteX7" fmla="*/ 0 w 825500"/>
                <a:gd name="connsiteY7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825500 w 825500"/>
                <a:gd name="connsiteY5" fmla="*/ 714375 h 714375"/>
                <a:gd name="connsiteX6" fmla="*/ 0 w 825500"/>
                <a:gd name="connsiteY6" fmla="*/ 714375 h 714375"/>
                <a:gd name="connsiteX7" fmla="*/ 0 w 825500"/>
                <a:gd name="connsiteY7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711200 w 825500"/>
                <a:gd name="connsiteY5" fmla="*/ 614363 h 714375"/>
                <a:gd name="connsiteX6" fmla="*/ 825500 w 825500"/>
                <a:gd name="connsiteY6" fmla="*/ 714375 h 714375"/>
                <a:gd name="connsiteX7" fmla="*/ 0 w 825500"/>
                <a:gd name="connsiteY7" fmla="*/ 714375 h 714375"/>
                <a:gd name="connsiteX8" fmla="*/ 0 w 825500"/>
                <a:gd name="connsiteY8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762000 w 825500"/>
                <a:gd name="connsiteY5" fmla="*/ 428625 h 714375"/>
                <a:gd name="connsiteX6" fmla="*/ 825500 w 825500"/>
                <a:gd name="connsiteY6" fmla="*/ 714375 h 714375"/>
                <a:gd name="connsiteX7" fmla="*/ 0 w 825500"/>
                <a:gd name="connsiteY7" fmla="*/ 714375 h 714375"/>
                <a:gd name="connsiteX8" fmla="*/ 0 w 825500"/>
                <a:gd name="connsiteY8" fmla="*/ 285750 h 714375"/>
                <a:gd name="connsiteX0" fmla="*/ 0 w 762000"/>
                <a:gd name="connsiteY0" fmla="*/ 285750 h 714375"/>
                <a:gd name="connsiteX1" fmla="*/ 254000 w 762000"/>
                <a:gd name="connsiteY1" fmla="*/ 285750 h 714375"/>
                <a:gd name="connsiteX2" fmla="*/ 254000 w 762000"/>
                <a:gd name="connsiteY2" fmla="*/ 0 h 714375"/>
                <a:gd name="connsiteX3" fmla="*/ 508000 w 762000"/>
                <a:gd name="connsiteY3" fmla="*/ 0 h 714375"/>
                <a:gd name="connsiteX4" fmla="*/ 508000 w 762000"/>
                <a:gd name="connsiteY4" fmla="*/ 428625 h 714375"/>
                <a:gd name="connsiteX5" fmla="*/ 762000 w 762000"/>
                <a:gd name="connsiteY5" fmla="*/ 428625 h 714375"/>
                <a:gd name="connsiteX6" fmla="*/ 762000 w 762000"/>
                <a:gd name="connsiteY6" fmla="*/ 714375 h 714375"/>
                <a:gd name="connsiteX7" fmla="*/ 0 w 762000"/>
                <a:gd name="connsiteY7" fmla="*/ 714375 h 714375"/>
                <a:gd name="connsiteX8" fmla="*/ 0 w 762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508000 w 1016000"/>
                <a:gd name="connsiteY4" fmla="*/ 428625 h 714375"/>
                <a:gd name="connsiteX5" fmla="*/ 762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508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254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762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762000 w 1016000"/>
                <a:gd name="connsiteY3" fmla="*/ 0 h 714375"/>
                <a:gd name="connsiteX4" fmla="*/ 762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143000"/>
                <a:gd name="connsiteY0" fmla="*/ 28575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016000 w 1143000"/>
                <a:gd name="connsiteY6" fmla="*/ 714375 h 714375"/>
                <a:gd name="connsiteX7" fmla="*/ 0 w 1143000"/>
                <a:gd name="connsiteY7" fmla="*/ 714375 h 714375"/>
                <a:gd name="connsiteX8" fmla="*/ 0 w 1143000"/>
                <a:gd name="connsiteY8" fmla="*/ 285750 h 714375"/>
                <a:gd name="connsiteX0" fmla="*/ 0 w 1143000"/>
                <a:gd name="connsiteY0" fmla="*/ 28575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143000 w 1143000"/>
                <a:gd name="connsiteY6" fmla="*/ 714375 h 714375"/>
                <a:gd name="connsiteX7" fmla="*/ 0 w 1143000"/>
                <a:gd name="connsiteY7" fmla="*/ 714375 h 714375"/>
                <a:gd name="connsiteX8" fmla="*/ 0 w 1143000"/>
                <a:gd name="connsiteY8" fmla="*/ 285750 h 714375"/>
                <a:gd name="connsiteX0" fmla="*/ 18738 w 1143000"/>
                <a:gd name="connsiteY0" fmla="*/ 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143000 w 1143000"/>
                <a:gd name="connsiteY6" fmla="*/ 714375 h 714375"/>
                <a:gd name="connsiteX7" fmla="*/ 0 w 1143000"/>
                <a:gd name="connsiteY7" fmla="*/ 714375 h 714375"/>
                <a:gd name="connsiteX8" fmla="*/ 18738 w 1143000"/>
                <a:gd name="connsiteY8" fmla="*/ 0 h 714375"/>
                <a:gd name="connsiteX0" fmla="*/ 18738 w 1143000"/>
                <a:gd name="connsiteY0" fmla="*/ 285750 h 1000125"/>
                <a:gd name="connsiteX1" fmla="*/ 381000 w 1143000"/>
                <a:gd name="connsiteY1" fmla="*/ 571500 h 1000125"/>
                <a:gd name="connsiteX2" fmla="*/ 393492 w 1143000"/>
                <a:gd name="connsiteY2" fmla="*/ 0 h 1000125"/>
                <a:gd name="connsiteX3" fmla="*/ 762000 w 1143000"/>
                <a:gd name="connsiteY3" fmla="*/ 28575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81000 w 1143000"/>
                <a:gd name="connsiteY1" fmla="*/ 57150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42862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42862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0 w 1124262"/>
                <a:gd name="connsiteY0" fmla="*/ 285750 h 1000125"/>
                <a:gd name="connsiteX1" fmla="*/ 374754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2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2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0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6 w 1124262"/>
                <a:gd name="connsiteY4" fmla="*/ 428625 h 1000125"/>
                <a:gd name="connsiteX5" fmla="*/ 1124260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2 w 1124264"/>
                <a:gd name="connsiteY0" fmla="*/ 285750 h 1000125"/>
                <a:gd name="connsiteX1" fmla="*/ 374754 w 1124264"/>
                <a:gd name="connsiteY1" fmla="*/ 285750 h 1000125"/>
                <a:gd name="connsiteX2" fmla="*/ 374756 w 1124264"/>
                <a:gd name="connsiteY2" fmla="*/ 0 h 1000125"/>
                <a:gd name="connsiteX3" fmla="*/ 749510 w 1124264"/>
                <a:gd name="connsiteY3" fmla="*/ 0 h 1000125"/>
                <a:gd name="connsiteX4" fmla="*/ 749508 w 1124264"/>
                <a:gd name="connsiteY4" fmla="*/ 428625 h 1000125"/>
                <a:gd name="connsiteX5" fmla="*/ 1124262 w 1124264"/>
                <a:gd name="connsiteY5" fmla="*/ 428625 h 1000125"/>
                <a:gd name="connsiteX6" fmla="*/ 1124264 w 1124264"/>
                <a:gd name="connsiteY6" fmla="*/ 1000125 h 1000125"/>
                <a:gd name="connsiteX7" fmla="*/ 0 w 1124264"/>
                <a:gd name="connsiteY7" fmla="*/ 714375 h 1000125"/>
                <a:gd name="connsiteX8" fmla="*/ 2 w 1124264"/>
                <a:gd name="connsiteY8" fmla="*/ 285750 h 1000125"/>
                <a:gd name="connsiteX0" fmla="*/ 2 w 1124264"/>
                <a:gd name="connsiteY0" fmla="*/ 285750 h 714375"/>
                <a:gd name="connsiteX1" fmla="*/ 374754 w 1124264"/>
                <a:gd name="connsiteY1" fmla="*/ 285750 h 714375"/>
                <a:gd name="connsiteX2" fmla="*/ 374756 w 1124264"/>
                <a:gd name="connsiteY2" fmla="*/ 0 h 714375"/>
                <a:gd name="connsiteX3" fmla="*/ 749510 w 1124264"/>
                <a:gd name="connsiteY3" fmla="*/ 0 h 714375"/>
                <a:gd name="connsiteX4" fmla="*/ 749508 w 1124264"/>
                <a:gd name="connsiteY4" fmla="*/ 428625 h 714375"/>
                <a:gd name="connsiteX5" fmla="*/ 1124262 w 1124264"/>
                <a:gd name="connsiteY5" fmla="*/ 428625 h 714375"/>
                <a:gd name="connsiteX6" fmla="*/ 1124264 w 1124264"/>
                <a:gd name="connsiteY6" fmla="*/ 714375 h 714375"/>
                <a:gd name="connsiteX7" fmla="*/ 0 w 1124264"/>
                <a:gd name="connsiteY7" fmla="*/ 714375 h 714375"/>
                <a:gd name="connsiteX8" fmla="*/ 2 w 1124264"/>
                <a:gd name="connsiteY8" fmla="*/ 285750 h 7143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124264" h="714375">
                  <a:moveTo>
                    <a:pt x="2" y="285750"/>
                  </a:moveTo>
                  <a:lnTo>
                    <a:pt x="374754" y="285750"/>
                  </a:lnTo>
                  <a:cubicBezTo>
                    <a:pt x="374755" y="190500"/>
                    <a:pt x="374755" y="95250"/>
                    <a:pt x="374756" y="0"/>
                  </a:cubicBezTo>
                  <a:lnTo>
                    <a:pt x="749510" y="0"/>
                  </a:lnTo>
                  <a:cubicBezTo>
                    <a:pt x="749509" y="142875"/>
                    <a:pt x="749509" y="285750"/>
                    <a:pt x="749508" y="428625"/>
                  </a:cubicBezTo>
                  <a:lnTo>
                    <a:pt x="1124262" y="428625"/>
                  </a:lnTo>
                  <a:cubicBezTo>
                    <a:pt x="1124263" y="619125"/>
                    <a:pt x="1124263" y="523875"/>
                    <a:pt x="1124264" y="714375"/>
                  </a:cubicBezTo>
                  <a:lnTo>
                    <a:pt x="0" y="714375"/>
                  </a:lnTo>
                  <a:cubicBezTo>
                    <a:pt x="1" y="571500"/>
                    <a:pt x="1" y="428625"/>
                    <a:pt x="2" y="285750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72" name="lb_button#sprite" descr="objects[obj_name].x=$x;&#10;objects[obj_name].y=$y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objects[obj_name].base_tint=objects[obj_name].tint;#app.stage.addChild(objects[obj_name]);#png" title="lb_button#sprite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3827125" y="2586403"/>
              <a:ext cx="1111250" cy="1208941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0" name="rules_button#spriteTOP" title="rules_button#sprit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4333868" y="2952748"/>
            <a:ext cx="1333504" cy="1428748"/>
            <a:chOff x="14684372" y="2594464"/>
            <a:chExt cx="1111256" cy="1208941"/>
          </a:xfrm>
        </xdr:grpSpPr>
        <xdr:sp macro="" textlink="">
          <xdr:nvSpPr>
            <xdr:cNvPr id="175" name="object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SpPr/>
          </xdr:nvSpPr>
          <xdr:spPr>
            <a:xfrm>
              <a:off x="14843128" y="2675061"/>
              <a:ext cx="793752" cy="797903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76" name="object">
              <a:extLst>
                <a:ext uri="{FF2B5EF4-FFF2-40B4-BE49-F238E27FC236}">
                  <a16:creationId xmlns:a16="http://schemas.microsoft.com/office/drawing/2014/main" id="{00000000-0008-0000-0000-0000B0000000}"/>
                </a:ext>
              </a:extLst>
            </xdr:cNvPr>
            <xdr:cNvSpPr/>
          </xdr:nvSpPr>
          <xdr:spPr>
            <a:xfrm>
              <a:off x="14684375" y="3481020"/>
              <a:ext cx="1111253" cy="32238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>
                  <a:solidFill>
                    <a:schemeClr val="bg1">
                      <a:lumMod val="8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Правила</a:t>
              </a:r>
              <a:endParaRPr lang="ru-RU" sz="1600">
                <a:solidFill>
                  <a:schemeClr val="bg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9" name="object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 flipH="1">
              <a:off x="15027274" y="2866292"/>
              <a:ext cx="427037" cy="413238"/>
            </a:xfrm>
            <a:prstGeom prst="verticalScroll">
              <a:avLst>
                <a:gd name="adj" fmla="val 20302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80" name="rules_button#sprite" descr="objects[obj_name].x=$x;&#10;objects[obj_name].y=$y;&#10;objects[obj_name].base_tint=objects[obj_name].tint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#app.stage.addChild(objects[obj_name]);#png" title="rules_button#sprite">
              <a:extLst>
                <a:ext uri="{FF2B5EF4-FFF2-40B4-BE49-F238E27FC236}">
                  <a16:creationId xmlns:a16="http://schemas.microsoft.com/office/drawing/2014/main" id="{00000000-0008-0000-0000-0000B4000000}"/>
                </a:ext>
              </a:extLst>
            </xdr:cNvPr>
            <xdr:cNvSpPr/>
          </xdr:nvSpPr>
          <xdr:spPr>
            <a:xfrm>
              <a:off x="14684372" y="2594464"/>
              <a:ext cx="1111250" cy="1208941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7" name="preferences_button#spriteTOP" title="preferences_button#sprite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5857871" y="2952749"/>
            <a:ext cx="1333504" cy="1428750"/>
            <a:chOff x="15482085" y="2586404"/>
            <a:chExt cx="1277941" cy="1208942"/>
          </a:xfrm>
        </xdr:grpSpPr>
        <xdr:sp macro="" textlink="">
          <xdr:nvSpPr>
            <xdr:cNvPr id="183" name="object">
              <a:extLst>
                <a:ext uri="{FF2B5EF4-FFF2-40B4-BE49-F238E27FC236}">
                  <a16:creationId xmlns:a16="http://schemas.microsoft.com/office/drawing/2014/main" id="{00000000-0008-0000-0000-0000B7000000}"/>
                </a:ext>
              </a:extLst>
            </xdr:cNvPr>
            <xdr:cNvSpPr/>
          </xdr:nvSpPr>
          <xdr:spPr>
            <a:xfrm>
              <a:off x="15664656" y="2659672"/>
              <a:ext cx="912812" cy="813289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84" name="object">
              <a:extLst>
                <a:ext uri="{FF2B5EF4-FFF2-40B4-BE49-F238E27FC236}">
                  <a16:creationId xmlns:a16="http://schemas.microsoft.com/office/drawing/2014/main" id="{00000000-0008-0000-0000-0000B8000000}"/>
                </a:ext>
              </a:extLst>
            </xdr:cNvPr>
            <xdr:cNvSpPr/>
          </xdr:nvSpPr>
          <xdr:spPr>
            <a:xfrm>
              <a:off x="15482085" y="3472960"/>
              <a:ext cx="1277941" cy="32238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800">
                  <a:solidFill>
                    <a:schemeClr val="bg1">
                      <a:lumMod val="8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Настройки</a:t>
              </a:r>
              <a:endParaRPr lang="ru-RU" sz="1200">
                <a:solidFill>
                  <a:schemeClr val="bg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86" name="preferences_button#sprite" descr="objects[obj_name].x=$x;&#10;objects[obj_name].y=$y;&#10;objects[obj_name].buttonMode=true;&#10;objects[obj_name].interactive=true;&#10;objects[obj_name].pointerdown=function(){main_menu.pref_button_down()};&#10;objects[obj_name].base_tint=objects[obj_name].tint;&#10;objects[obj_name].pointerover=function(){this.tint=0x55ffff};&#10;objects[obj_name].pointerout=function(){this.tint=this.base_tint};#app.stage.addChild(objects[obj_name]);#png" title="preferences_button#sprite">
              <a:extLst>
                <a:ext uri="{FF2B5EF4-FFF2-40B4-BE49-F238E27FC236}">
                  <a16:creationId xmlns:a16="http://schemas.microsoft.com/office/drawing/2014/main" id="{00000000-0008-0000-0000-0000BA000000}"/>
                </a:ext>
              </a:extLst>
            </xdr:cNvPr>
            <xdr:cNvSpPr/>
          </xdr:nvSpPr>
          <xdr:spPr>
            <a:xfrm>
              <a:off x="15482093" y="2586404"/>
              <a:ext cx="1277933" cy="1208942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4" name="object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15867264" y="2845825"/>
              <a:ext cx="509384" cy="417585"/>
            </a:xfrm>
            <a:custGeom>
              <a:avLst/>
              <a:gdLst>
                <a:gd name="connsiteX0" fmla="*/ -3 w 1143000"/>
                <a:gd name="connsiteY0" fmla="*/ 735071 h 1143000"/>
                <a:gd name="connsiteX1" fmla="*/ 176009 w 1143000"/>
                <a:gd name="connsiteY1" fmla="*/ 508686 h 1143000"/>
                <a:gd name="connsiteX2" fmla="*/ 113192 w 1143000"/>
                <a:gd name="connsiteY2" fmla="*/ 226386 h 1143000"/>
                <a:gd name="connsiteX3" fmla="*/ 395492 w 1143000"/>
                <a:gd name="connsiteY3" fmla="*/ 226387 h 1143000"/>
                <a:gd name="connsiteX4" fmla="*/ 571500 w 1143000"/>
                <a:gd name="connsiteY4" fmla="*/ 0 h 1143000"/>
                <a:gd name="connsiteX5" fmla="*/ 747508 w 1143000"/>
                <a:gd name="connsiteY5" fmla="*/ 226387 h 1143000"/>
                <a:gd name="connsiteX6" fmla="*/ 1029808 w 1143000"/>
                <a:gd name="connsiteY6" fmla="*/ 226386 h 1143000"/>
                <a:gd name="connsiteX7" fmla="*/ 966991 w 1143000"/>
                <a:gd name="connsiteY7" fmla="*/ 508686 h 1143000"/>
                <a:gd name="connsiteX8" fmla="*/ 1143003 w 1143000"/>
                <a:gd name="connsiteY8" fmla="*/ 735071 h 1143000"/>
                <a:gd name="connsiteX9" fmla="*/ 888658 w 1143000"/>
                <a:gd name="connsiteY9" fmla="*/ 860706 h 1143000"/>
                <a:gd name="connsiteX10" fmla="*/ 825840 w 1143000"/>
                <a:gd name="connsiteY10" fmla="*/ 1143006 h 1143000"/>
                <a:gd name="connsiteX11" fmla="*/ 571500 w 1143000"/>
                <a:gd name="connsiteY11" fmla="*/ 1017370 h 1143000"/>
                <a:gd name="connsiteX12" fmla="*/ 317160 w 1143000"/>
                <a:gd name="connsiteY12" fmla="*/ 1143006 h 1143000"/>
                <a:gd name="connsiteX13" fmla="*/ 254342 w 1143000"/>
                <a:gd name="connsiteY13" fmla="*/ 860706 h 1143000"/>
                <a:gd name="connsiteX14" fmla="*/ -3 w 1143000"/>
                <a:gd name="connsiteY14" fmla="*/ 735071 h 1143000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506019 w 1143006"/>
                <a:gd name="connsiteY4" fmla="*/ 65484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12034 w 1143006"/>
                <a:gd name="connsiteY8" fmla="*/ 321469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23940 w 1143006"/>
                <a:gd name="connsiteY11" fmla="*/ 797719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65612 w 1143006"/>
                <a:gd name="connsiteY11" fmla="*/ 898922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065612 w 1184678"/>
                <a:gd name="connsiteY11" fmla="*/ 898922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696519 w 1184678"/>
                <a:gd name="connsiteY14" fmla="*/ 1083469 h 1143006"/>
                <a:gd name="connsiteX15" fmla="*/ 571503 w 1184678"/>
                <a:gd name="connsiteY15" fmla="*/ 1017370 h 1143006"/>
                <a:gd name="connsiteX16" fmla="*/ 317163 w 1184678"/>
                <a:gd name="connsiteY16" fmla="*/ 1143006 h 1143006"/>
                <a:gd name="connsiteX17" fmla="*/ 254345 w 1184678"/>
                <a:gd name="connsiteY17" fmla="*/ 860706 h 1143006"/>
                <a:gd name="connsiteX18" fmla="*/ 0 w 1184678"/>
                <a:gd name="connsiteY18" fmla="*/ 735071 h 1143006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825843 w 1184678"/>
                <a:gd name="connsiteY13" fmla="*/ 1143006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938953 w 1184678"/>
                <a:gd name="connsiteY13" fmla="*/ 1107287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54345 w 1184678"/>
                <a:gd name="connsiteY17" fmla="*/ 860706 h 1184672"/>
                <a:gd name="connsiteX18" fmla="*/ 0 w 1184678"/>
                <a:gd name="connsiteY18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91706 w 1184678"/>
                <a:gd name="connsiteY17" fmla="*/ 982266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442179 w 1184678"/>
                <a:gd name="connsiteY16" fmla="*/ 1160865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54912"/>
                <a:gd name="connsiteY0" fmla="*/ 812461 h 1184672"/>
                <a:gd name="connsiteX1" fmla="*/ 146246 w 1154912"/>
                <a:gd name="connsiteY1" fmla="*/ 508686 h 1184672"/>
                <a:gd name="connsiteX2" fmla="*/ 83429 w 1154912"/>
                <a:gd name="connsiteY2" fmla="*/ 226386 h 1184672"/>
                <a:gd name="connsiteX3" fmla="*/ 365729 w 1154912"/>
                <a:gd name="connsiteY3" fmla="*/ 226387 h 1184672"/>
                <a:gd name="connsiteX4" fmla="*/ 392910 w 1154912"/>
                <a:gd name="connsiteY4" fmla="*/ 11906 h 1184672"/>
                <a:gd name="connsiteX5" fmla="*/ 672706 w 1154912"/>
                <a:gd name="connsiteY5" fmla="*/ 0 h 1184672"/>
                <a:gd name="connsiteX6" fmla="*/ 717745 w 1154912"/>
                <a:gd name="connsiteY6" fmla="*/ 226387 h 1184672"/>
                <a:gd name="connsiteX7" fmla="*/ 928607 w 1154912"/>
                <a:gd name="connsiteY7" fmla="*/ 148995 h 1184672"/>
                <a:gd name="connsiteX8" fmla="*/ 1065612 w 1154912"/>
                <a:gd name="connsiteY8" fmla="*/ 357187 h 1184672"/>
                <a:gd name="connsiteX9" fmla="*/ 937228 w 1154912"/>
                <a:gd name="connsiteY9" fmla="*/ 508686 h 1184672"/>
                <a:gd name="connsiteX10" fmla="*/ 1154912 w 1154912"/>
                <a:gd name="connsiteY10" fmla="*/ 639821 h 1184672"/>
                <a:gd name="connsiteX11" fmla="*/ 1089424 w 1154912"/>
                <a:gd name="connsiteY11" fmla="*/ 857250 h 1184672"/>
                <a:gd name="connsiteX12" fmla="*/ 858895 w 1154912"/>
                <a:gd name="connsiteY12" fmla="*/ 860706 h 1184672"/>
                <a:gd name="connsiteX13" fmla="*/ 909187 w 1154912"/>
                <a:gd name="connsiteY13" fmla="*/ 1107287 h 1184672"/>
                <a:gd name="connsiteX14" fmla="*/ 762003 w 1154912"/>
                <a:gd name="connsiteY14" fmla="*/ 1184672 h 1184672"/>
                <a:gd name="connsiteX15" fmla="*/ 541737 w 1154912"/>
                <a:gd name="connsiteY15" fmla="*/ 1017370 h 1184672"/>
                <a:gd name="connsiteX16" fmla="*/ 412413 w 1154912"/>
                <a:gd name="connsiteY16" fmla="*/ 1160865 h 1184672"/>
                <a:gd name="connsiteX17" fmla="*/ 196456 w 1154912"/>
                <a:gd name="connsiteY17" fmla="*/ 1065609 h 1184672"/>
                <a:gd name="connsiteX18" fmla="*/ 224579 w 1154912"/>
                <a:gd name="connsiteY18" fmla="*/ 860706 h 1184672"/>
                <a:gd name="connsiteX19" fmla="*/ 0 w 1154912"/>
                <a:gd name="connsiteY19" fmla="*/ 812461 h 1184672"/>
                <a:gd name="connsiteX0" fmla="*/ 0 w 1154912"/>
                <a:gd name="connsiteY0" fmla="*/ 812461 h 1184672"/>
                <a:gd name="connsiteX1" fmla="*/ 77393 w 1154912"/>
                <a:gd name="connsiteY1" fmla="*/ 631031 h 1184672"/>
                <a:gd name="connsiteX2" fmla="*/ 146246 w 1154912"/>
                <a:gd name="connsiteY2" fmla="*/ 508686 h 1184672"/>
                <a:gd name="connsiteX3" fmla="*/ 83429 w 1154912"/>
                <a:gd name="connsiteY3" fmla="*/ 226386 h 1184672"/>
                <a:gd name="connsiteX4" fmla="*/ 365729 w 1154912"/>
                <a:gd name="connsiteY4" fmla="*/ 226387 h 1184672"/>
                <a:gd name="connsiteX5" fmla="*/ 392910 w 1154912"/>
                <a:gd name="connsiteY5" fmla="*/ 11906 h 1184672"/>
                <a:gd name="connsiteX6" fmla="*/ 672706 w 1154912"/>
                <a:gd name="connsiteY6" fmla="*/ 0 h 1184672"/>
                <a:gd name="connsiteX7" fmla="*/ 717745 w 1154912"/>
                <a:gd name="connsiteY7" fmla="*/ 226387 h 1184672"/>
                <a:gd name="connsiteX8" fmla="*/ 928607 w 1154912"/>
                <a:gd name="connsiteY8" fmla="*/ 148995 h 1184672"/>
                <a:gd name="connsiteX9" fmla="*/ 1065612 w 1154912"/>
                <a:gd name="connsiteY9" fmla="*/ 357187 h 1184672"/>
                <a:gd name="connsiteX10" fmla="*/ 937228 w 1154912"/>
                <a:gd name="connsiteY10" fmla="*/ 508686 h 1184672"/>
                <a:gd name="connsiteX11" fmla="*/ 1154912 w 1154912"/>
                <a:gd name="connsiteY11" fmla="*/ 639821 h 1184672"/>
                <a:gd name="connsiteX12" fmla="*/ 1089424 w 1154912"/>
                <a:gd name="connsiteY12" fmla="*/ 857250 h 1184672"/>
                <a:gd name="connsiteX13" fmla="*/ 858895 w 1154912"/>
                <a:gd name="connsiteY13" fmla="*/ 860706 h 1184672"/>
                <a:gd name="connsiteX14" fmla="*/ 909187 w 1154912"/>
                <a:gd name="connsiteY14" fmla="*/ 1107287 h 1184672"/>
                <a:gd name="connsiteX15" fmla="*/ 762003 w 1154912"/>
                <a:gd name="connsiteY15" fmla="*/ 1184672 h 1184672"/>
                <a:gd name="connsiteX16" fmla="*/ 541737 w 1154912"/>
                <a:gd name="connsiteY16" fmla="*/ 1017370 h 1184672"/>
                <a:gd name="connsiteX17" fmla="*/ 412413 w 1154912"/>
                <a:gd name="connsiteY17" fmla="*/ 1160865 h 1184672"/>
                <a:gd name="connsiteX18" fmla="*/ 196456 w 1154912"/>
                <a:gd name="connsiteY18" fmla="*/ 1065609 h 1184672"/>
                <a:gd name="connsiteX19" fmla="*/ 224579 w 1154912"/>
                <a:gd name="connsiteY19" fmla="*/ 860706 h 1184672"/>
                <a:gd name="connsiteX20" fmla="*/ 0 w 1154912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131052 w 1202535"/>
                <a:gd name="connsiteY3" fmla="*/ 226386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285752 w 1202535"/>
                <a:gd name="connsiteY4" fmla="*/ 232172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36273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36273 h 1184672"/>
                <a:gd name="connsiteX0" fmla="*/ 83342 w 1238254"/>
                <a:gd name="connsiteY0" fmla="*/ 836273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83342 w 1238254"/>
                <a:gd name="connsiteY21" fmla="*/ 836273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67891 w 1238254"/>
                <a:gd name="connsiteY19" fmla="*/ 1101328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208361 w 1238254"/>
                <a:gd name="connsiteY4" fmla="*/ 89297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11990 w 1238254"/>
                <a:gd name="connsiteY3" fmla="*/ 208526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166687 w 1345411"/>
                <a:gd name="connsiteY0" fmla="*/ 860086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166687 w 1345411"/>
                <a:gd name="connsiteY21" fmla="*/ 860086 h 1184678"/>
                <a:gd name="connsiteX0" fmla="*/ 53578 w 1345411"/>
                <a:gd name="connsiteY0" fmla="*/ 925570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53578 w 1345411"/>
                <a:gd name="connsiteY21" fmla="*/ 925570 h 1184678"/>
                <a:gd name="connsiteX0" fmla="*/ 53578 w 1345411"/>
                <a:gd name="connsiteY0" fmla="*/ 925570 h 1196578"/>
                <a:gd name="connsiteX1" fmla="*/ 0 w 1345411"/>
                <a:gd name="connsiteY1" fmla="*/ 636984 h 1196578"/>
                <a:gd name="connsiteX2" fmla="*/ 336745 w 1345411"/>
                <a:gd name="connsiteY2" fmla="*/ 508686 h 1196578"/>
                <a:gd name="connsiteX3" fmla="*/ 119147 w 1345411"/>
                <a:gd name="connsiteY3" fmla="*/ 208526 h 1196578"/>
                <a:gd name="connsiteX4" fmla="*/ 279800 w 1345411"/>
                <a:gd name="connsiteY4" fmla="*/ 35719 h 1196578"/>
                <a:gd name="connsiteX5" fmla="*/ 556228 w 1345411"/>
                <a:gd name="connsiteY5" fmla="*/ 226387 h 1196578"/>
                <a:gd name="connsiteX6" fmla="*/ 583409 w 1345411"/>
                <a:gd name="connsiteY6" fmla="*/ 11906 h 1196578"/>
                <a:gd name="connsiteX7" fmla="*/ 863205 w 1345411"/>
                <a:gd name="connsiteY7" fmla="*/ 0 h 1196578"/>
                <a:gd name="connsiteX8" fmla="*/ 908244 w 1345411"/>
                <a:gd name="connsiteY8" fmla="*/ 226387 h 1196578"/>
                <a:gd name="connsiteX9" fmla="*/ 1119106 w 1345411"/>
                <a:gd name="connsiteY9" fmla="*/ 148995 h 1196578"/>
                <a:gd name="connsiteX10" fmla="*/ 1256111 w 1345411"/>
                <a:gd name="connsiteY10" fmla="*/ 357187 h 1196578"/>
                <a:gd name="connsiteX11" fmla="*/ 1127727 w 1345411"/>
                <a:gd name="connsiteY11" fmla="*/ 508686 h 1196578"/>
                <a:gd name="connsiteX12" fmla="*/ 1345411 w 1345411"/>
                <a:gd name="connsiteY12" fmla="*/ 639821 h 1196578"/>
                <a:gd name="connsiteX13" fmla="*/ 1279923 w 1345411"/>
                <a:gd name="connsiteY13" fmla="*/ 857250 h 1196578"/>
                <a:gd name="connsiteX14" fmla="*/ 1049394 w 1345411"/>
                <a:gd name="connsiteY14" fmla="*/ 860706 h 1196578"/>
                <a:gd name="connsiteX15" fmla="*/ 1099686 w 1345411"/>
                <a:gd name="connsiteY15" fmla="*/ 1107287 h 1196578"/>
                <a:gd name="connsiteX16" fmla="*/ 952502 w 1345411"/>
                <a:gd name="connsiteY16" fmla="*/ 1184672 h 1196578"/>
                <a:gd name="connsiteX17" fmla="*/ 732236 w 1345411"/>
                <a:gd name="connsiteY17" fmla="*/ 1017370 h 1196578"/>
                <a:gd name="connsiteX18" fmla="*/ 585053 w 1345411"/>
                <a:gd name="connsiteY18" fmla="*/ 1184678 h 1196578"/>
                <a:gd name="connsiteX19" fmla="*/ 238126 w 1345411"/>
                <a:gd name="connsiteY19" fmla="*/ 1196578 h 1196578"/>
                <a:gd name="connsiteX20" fmla="*/ 415078 w 1345411"/>
                <a:gd name="connsiteY20" fmla="*/ 860706 h 1196578"/>
                <a:gd name="connsiteX21" fmla="*/ 53578 w 1345411"/>
                <a:gd name="connsiteY21" fmla="*/ 925570 h 1196578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52502 w 1345411"/>
                <a:gd name="connsiteY16" fmla="*/ 1184672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218748 w 1345411"/>
                <a:gd name="connsiteY15" fmla="*/ 1172771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87079"/>
                <a:gd name="connsiteY0" fmla="*/ 925570 h 1327553"/>
                <a:gd name="connsiteX1" fmla="*/ 0 w 1387079"/>
                <a:gd name="connsiteY1" fmla="*/ 636984 h 1327553"/>
                <a:gd name="connsiteX2" fmla="*/ 336745 w 1387079"/>
                <a:gd name="connsiteY2" fmla="*/ 508686 h 1327553"/>
                <a:gd name="connsiteX3" fmla="*/ 119147 w 1387079"/>
                <a:gd name="connsiteY3" fmla="*/ 208526 h 1327553"/>
                <a:gd name="connsiteX4" fmla="*/ 279800 w 1387079"/>
                <a:gd name="connsiteY4" fmla="*/ 35719 h 1327553"/>
                <a:gd name="connsiteX5" fmla="*/ 556228 w 1387079"/>
                <a:gd name="connsiteY5" fmla="*/ 226387 h 1327553"/>
                <a:gd name="connsiteX6" fmla="*/ 583409 w 1387079"/>
                <a:gd name="connsiteY6" fmla="*/ 11906 h 1327553"/>
                <a:gd name="connsiteX7" fmla="*/ 863205 w 1387079"/>
                <a:gd name="connsiteY7" fmla="*/ 0 h 1327553"/>
                <a:gd name="connsiteX8" fmla="*/ 908244 w 1387079"/>
                <a:gd name="connsiteY8" fmla="*/ 226387 h 1327553"/>
                <a:gd name="connsiteX9" fmla="*/ 1119106 w 1387079"/>
                <a:gd name="connsiteY9" fmla="*/ 148995 h 1327553"/>
                <a:gd name="connsiteX10" fmla="*/ 1256111 w 1387079"/>
                <a:gd name="connsiteY10" fmla="*/ 357187 h 1327553"/>
                <a:gd name="connsiteX11" fmla="*/ 1127727 w 1387079"/>
                <a:gd name="connsiteY11" fmla="*/ 508686 h 1327553"/>
                <a:gd name="connsiteX12" fmla="*/ 1345411 w 1387079"/>
                <a:gd name="connsiteY12" fmla="*/ 639821 h 1327553"/>
                <a:gd name="connsiteX13" fmla="*/ 1387079 w 1387079"/>
                <a:gd name="connsiteY13" fmla="*/ 898922 h 1327553"/>
                <a:gd name="connsiteX14" fmla="*/ 1049394 w 1387079"/>
                <a:gd name="connsiteY14" fmla="*/ 860706 h 1327553"/>
                <a:gd name="connsiteX15" fmla="*/ 1218748 w 1387079"/>
                <a:gd name="connsiteY15" fmla="*/ 1172771 h 1327553"/>
                <a:gd name="connsiteX16" fmla="*/ 970361 w 1387079"/>
                <a:gd name="connsiteY16" fmla="*/ 1315640 h 1327553"/>
                <a:gd name="connsiteX17" fmla="*/ 732236 w 1387079"/>
                <a:gd name="connsiteY17" fmla="*/ 1017370 h 1327553"/>
                <a:gd name="connsiteX18" fmla="*/ 471944 w 1387079"/>
                <a:gd name="connsiteY18" fmla="*/ 1327553 h 1327553"/>
                <a:gd name="connsiteX19" fmla="*/ 238126 w 1387079"/>
                <a:gd name="connsiteY19" fmla="*/ 1196578 h 1327553"/>
                <a:gd name="connsiteX20" fmla="*/ 415078 w 1387079"/>
                <a:gd name="connsiteY20" fmla="*/ 860706 h 1327553"/>
                <a:gd name="connsiteX21" fmla="*/ 53578 w 1387079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256111 w 1458521"/>
                <a:gd name="connsiteY10" fmla="*/ 357187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78638 w 1458521"/>
                <a:gd name="connsiteY9" fmla="*/ 71604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63205 w 1458521"/>
                <a:gd name="connsiteY7" fmla="*/ 95250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41740 w 1458521"/>
                <a:gd name="connsiteY6" fmla="*/ 89297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238256 w 1458521"/>
                <a:gd name="connsiteY14" fmla="*/ 636984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03172 w 1458521"/>
                <a:gd name="connsiteY25" fmla="*/ 1033347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93438 w 1458521"/>
                <a:gd name="connsiteY7" fmla="*/ 270084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92971 w 1458521"/>
                <a:gd name="connsiteY9" fmla="*/ 31958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422171 w 1458521"/>
                <a:gd name="connsiteY17" fmla="*/ 1034277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78574"/>
                <a:gd name="connsiteY0" fmla="*/ 1040872 h 1442855"/>
                <a:gd name="connsiteX1" fmla="*/ 0 w 1478574"/>
                <a:gd name="connsiteY1" fmla="*/ 752286 h 1442855"/>
                <a:gd name="connsiteX2" fmla="*/ 259354 w 1478574"/>
                <a:gd name="connsiteY2" fmla="*/ 653753 h 1442855"/>
                <a:gd name="connsiteX3" fmla="*/ 279803 w 1478574"/>
                <a:gd name="connsiteY3" fmla="*/ 549880 h 1442855"/>
                <a:gd name="connsiteX4" fmla="*/ 101288 w 1478574"/>
                <a:gd name="connsiteY4" fmla="*/ 329781 h 1442855"/>
                <a:gd name="connsiteX5" fmla="*/ 279800 w 1478574"/>
                <a:gd name="connsiteY5" fmla="*/ 151021 h 1442855"/>
                <a:gd name="connsiteX6" fmla="*/ 502650 w 1478574"/>
                <a:gd name="connsiteY6" fmla="*/ 323829 h 1442855"/>
                <a:gd name="connsiteX7" fmla="*/ 593438 w 1478574"/>
                <a:gd name="connsiteY7" fmla="*/ 290136 h 1442855"/>
                <a:gd name="connsiteX8" fmla="*/ 615368 w 1478574"/>
                <a:gd name="connsiteY8" fmla="*/ 0 h 1442855"/>
                <a:gd name="connsiteX9" fmla="*/ 887957 w 1478574"/>
                <a:gd name="connsiteY9" fmla="*/ 11906 h 1442855"/>
                <a:gd name="connsiteX10" fmla="*/ 872525 w 1478574"/>
                <a:gd name="connsiteY10" fmla="*/ 305971 h 1442855"/>
                <a:gd name="connsiteX11" fmla="*/ 958459 w 1478574"/>
                <a:gd name="connsiteY11" fmla="*/ 329614 h 1442855"/>
                <a:gd name="connsiteX12" fmla="*/ 1218744 w 1478574"/>
                <a:gd name="connsiteY12" fmla="*/ 166854 h 1442855"/>
                <a:gd name="connsiteX13" fmla="*/ 1397419 w 1478574"/>
                <a:gd name="connsiteY13" fmla="*/ 381939 h 1442855"/>
                <a:gd name="connsiteX14" fmla="*/ 1186319 w 1478574"/>
                <a:gd name="connsiteY14" fmla="*/ 580123 h 1442855"/>
                <a:gd name="connsiteX15" fmla="*/ 1178725 w 1478574"/>
                <a:gd name="connsiteY15" fmla="*/ 686801 h 1442855"/>
                <a:gd name="connsiteX16" fmla="*/ 1478574 w 1478574"/>
                <a:gd name="connsiteY16" fmla="*/ 755123 h 1442855"/>
                <a:gd name="connsiteX17" fmla="*/ 1422171 w 1478574"/>
                <a:gd name="connsiteY17" fmla="*/ 1034277 h 1442855"/>
                <a:gd name="connsiteX18" fmla="*/ 1132738 w 1478574"/>
                <a:gd name="connsiteY18" fmla="*/ 970055 h 1442855"/>
                <a:gd name="connsiteX19" fmla="*/ 1083475 w 1478574"/>
                <a:gd name="connsiteY19" fmla="*/ 1043989 h 1442855"/>
                <a:gd name="connsiteX20" fmla="*/ 1218748 w 1478574"/>
                <a:gd name="connsiteY20" fmla="*/ 1288073 h 1442855"/>
                <a:gd name="connsiteX21" fmla="*/ 970361 w 1478574"/>
                <a:gd name="connsiteY21" fmla="*/ 1430942 h 1442855"/>
                <a:gd name="connsiteX22" fmla="*/ 767955 w 1478574"/>
                <a:gd name="connsiteY22" fmla="*/ 1192203 h 1442855"/>
                <a:gd name="connsiteX23" fmla="*/ 660803 w 1478574"/>
                <a:gd name="connsiteY23" fmla="*/ 1204724 h 1442855"/>
                <a:gd name="connsiteX24" fmla="*/ 471944 w 1478574"/>
                <a:gd name="connsiteY24" fmla="*/ 1442855 h 1442855"/>
                <a:gd name="connsiteX25" fmla="*/ 238126 w 1478574"/>
                <a:gd name="connsiteY25" fmla="*/ 1311880 h 1442855"/>
                <a:gd name="connsiteX26" fmla="*/ 403172 w 1478574"/>
                <a:gd name="connsiteY26" fmla="*/ 1053399 h 1442855"/>
                <a:gd name="connsiteX27" fmla="*/ 327428 w 1478574"/>
                <a:gd name="connsiteY27" fmla="*/ 990411 h 1442855"/>
                <a:gd name="connsiteX28" fmla="*/ 53578 w 1478574"/>
                <a:gd name="connsiteY28" fmla="*/ 1040872 h 1442855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18748 w 1478574"/>
                <a:gd name="connsiteY20" fmla="*/ 1288073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38538 w 1478574"/>
                <a:gd name="connsiteY0" fmla="*/ 1045885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38538 w 1478574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43278 w 1518680"/>
                <a:gd name="connsiteY26" fmla="*/ 1053399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15949 w 1518680"/>
                <a:gd name="connsiteY23" fmla="*/ 1199711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15949 w 1518680"/>
                <a:gd name="connsiteY23" fmla="*/ 1199711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188669 w 1518680"/>
                <a:gd name="connsiteY20" fmla="*/ 1358257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62277 w 1523693"/>
                <a:gd name="connsiteY17" fmla="*/ 1034277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73890 w 1523693"/>
                <a:gd name="connsiteY12" fmla="*/ 196933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9018 h 1486093"/>
                <a:gd name="connsiteX1" fmla="*/ 0 w 1523693"/>
                <a:gd name="connsiteY1" fmla="*/ 765445 h 1486093"/>
                <a:gd name="connsiteX2" fmla="*/ 299460 w 1523693"/>
                <a:gd name="connsiteY2" fmla="*/ 656886 h 1486093"/>
                <a:gd name="connsiteX3" fmla="*/ 319909 w 1523693"/>
                <a:gd name="connsiteY3" fmla="*/ 553013 h 1486093"/>
                <a:gd name="connsiteX4" fmla="*/ 141394 w 1523693"/>
                <a:gd name="connsiteY4" fmla="*/ 332914 h 1486093"/>
                <a:gd name="connsiteX5" fmla="*/ 319906 w 1523693"/>
                <a:gd name="connsiteY5" fmla="*/ 154154 h 1486093"/>
                <a:gd name="connsiteX6" fmla="*/ 542756 w 1523693"/>
                <a:gd name="connsiteY6" fmla="*/ 326962 h 1486093"/>
                <a:gd name="connsiteX7" fmla="*/ 633544 w 1523693"/>
                <a:gd name="connsiteY7" fmla="*/ 293269 h 1486093"/>
                <a:gd name="connsiteX8" fmla="*/ 655474 w 1523693"/>
                <a:gd name="connsiteY8" fmla="*/ 3133 h 1486093"/>
                <a:gd name="connsiteX9" fmla="*/ 877931 w 1523693"/>
                <a:gd name="connsiteY9" fmla="*/ 0 h 1486093"/>
                <a:gd name="connsiteX10" fmla="*/ 912631 w 1523693"/>
                <a:gd name="connsiteY10" fmla="*/ 309104 h 1486093"/>
                <a:gd name="connsiteX11" fmla="*/ 998565 w 1523693"/>
                <a:gd name="connsiteY11" fmla="*/ 332747 h 1486093"/>
                <a:gd name="connsiteX12" fmla="*/ 1273890 w 1523693"/>
                <a:gd name="connsiteY12" fmla="*/ 200066 h 1486093"/>
                <a:gd name="connsiteX13" fmla="*/ 1422486 w 1523693"/>
                <a:gd name="connsiteY13" fmla="*/ 370032 h 1486093"/>
                <a:gd name="connsiteX14" fmla="*/ 1226425 w 1523693"/>
                <a:gd name="connsiteY14" fmla="*/ 583256 h 1486093"/>
                <a:gd name="connsiteX15" fmla="*/ 1218831 w 1523693"/>
                <a:gd name="connsiteY15" fmla="*/ 689934 h 1486093"/>
                <a:gd name="connsiteX16" fmla="*/ 1523693 w 1523693"/>
                <a:gd name="connsiteY16" fmla="*/ 818414 h 1486093"/>
                <a:gd name="connsiteX17" fmla="*/ 1482330 w 1523693"/>
                <a:gd name="connsiteY17" fmla="*/ 1002318 h 1486093"/>
                <a:gd name="connsiteX18" fmla="*/ 1162818 w 1523693"/>
                <a:gd name="connsiteY18" fmla="*/ 988228 h 1486093"/>
                <a:gd name="connsiteX19" fmla="*/ 1103528 w 1523693"/>
                <a:gd name="connsiteY19" fmla="*/ 1097254 h 1486093"/>
                <a:gd name="connsiteX20" fmla="*/ 1188669 w 1523693"/>
                <a:gd name="connsiteY20" fmla="*/ 1361390 h 1486093"/>
                <a:gd name="connsiteX21" fmla="*/ 1020493 w 1523693"/>
                <a:gd name="connsiteY21" fmla="*/ 1469167 h 1486093"/>
                <a:gd name="connsiteX22" fmla="*/ 803048 w 1523693"/>
                <a:gd name="connsiteY22" fmla="*/ 1220401 h 1486093"/>
                <a:gd name="connsiteX23" fmla="*/ 730989 w 1523693"/>
                <a:gd name="connsiteY23" fmla="*/ 1222897 h 1486093"/>
                <a:gd name="connsiteX24" fmla="*/ 552155 w 1523693"/>
                <a:gd name="connsiteY24" fmla="*/ 1486093 h 1486093"/>
                <a:gd name="connsiteX25" fmla="*/ 323350 w 1523693"/>
                <a:gd name="connsiteY25" fmla="*/ 1355118 h 1486093"/>
                <a:gd name="connsiteX26" fmla="*/ 418212 w 1523693"/>
                <a:gd name="connsiteY26" fmla="*/ 1071571 h 1486093"/>
                <a:gd name="connsiteX27" fmla="*/ 367534 w 1523693"/>
                <a:gd name="connsiteY27" fmla="*/ 993544 h 1486093"/>
                <a:gd name="connsiteX28" fmla="*/ 78644 w 1523693"/>
                <a:gd name="connsiteY28" fmla="*/ 1049018 h 1486093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319906 w 1523693"/>
                <a:gd name="connsiteY5" fmla="*/ 161048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79407 w 1523693"/>
                <a:gd name="connsiteY2" fmla="*/ 688846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3631 w 1518680"/>
                <a:gd name="connsiteY0" fmla="*/ 1055912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73631 w 1518680"/>
                <a:gd name="connsiteY28" fmla="*/ 1055912 h 1492987"/>
                <a:gd name="connsiteX0" fmla="*/ 43552 w 1518680"/>
                <a:gd name="connsiteY0" fmla="*/ 1045885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45885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69933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295150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11316 w 1518680"/>
                <a:gd name="connsiteY4" fmla="*/ 364874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1518680" h="1492987">
                  <a:moveTo>
                    <a:pt x="43552" y="1030846"/>
                  </a:moveTo>
                  <a:lnTo>
                    <a:pt x="0" y="802418"/>
                  </a:lnTo>
                  <a:lnTo>
                    <a:pt x="274394" y="688846"/>
                  </a:lnTo>
                  <a:lnTo>
                    <a:pt x="299857" y="594999"/>
                  </a:lnTo>
                  <a:lnTo>
                    <a:pt x="111316" y="364874"/>
                  </a:lnTo>
                  <a:lnTo>
                    <a:pt x="244709" y="191127"/>
                  </a:lnTo>
                  <a:lnTo>
                    <a:pt x="517691" y="343883"/>
                  </a:lnTo>
                  <a:lnTo>
                    <a:pt x="608478" y="300163"/>
                  </a:lnTo>
                  <a:lnTo>
                    <a:pt x="675527" y="0"/>
                  </a:lnTo>
                  <a:lnTo>
                    <a:pt x="872918" y="6894"/>
                  </a:lnTo>
                  <a:lnTo>
                    <a:pt x="917644" y="305972"/>
                  </a:lnTo>
                  <a:lnTo>
                    <a:pt x="1013604" y="349667"/>
                  </a:lnTo>
                  <a:lnTo>
                    <a:pt x="1268877" y="206960"/>
                  </a:lnTo>
                  <a:lnTo>
                    <a:pt x="1417473" y="376926"/>
                  </a:lnTo>
                  <a:lnTo>
                    <a:pt x="1221412" y="590150"/>
                  </a:lnTo>
                  <a:lnTo>
                    <a:pt x="1213818" y="696828"/>
                  </a:lnTo>
                  <a:lnTo>
                    <a:pt x="1518680" y="825308"/>
                  </a:lnTo>
                  <a:lnTo>
                    <a:pt x="1477317" y="1009212"/>
                  </a:lnTo>
                  <a:lnTo>
                    <a:pt x="1167831" y="995122"/>
                  </a:lnTo>
                  <a:lnTo>
                    <a:pt x="1098515" y="1094122"/>
                  </a:lnTo>
                  <a:lnTo>
                    <a:pt x="1168616" y="1388336"/>
                  </a:lnTo>
                  <a:lnTo>
                    <a:pt x="1015480" y="1476061"/>
                  </a:lnTo>
                  <a:lnTo>
                    <a:pt x="798035" y="1227295"/>
                  </a:lnTo>
                  <a:lnTo>
                    <a:pt x="746029" y="1229791"/>
                  </a:lnTo>
                  <a:lnTo>
                    <a:pt x="532103" y="1492987"/>
                  </a:lnTo>
                  <a:lnTo>
                    <a:pt x="353429" y="1377051"/>
                  </a:lnTo>
                  <a:lnTo>
                    <a:pt x="413199" y="1078465"/>
                  </a:lnTo>
                  <a:lnTo>
                    <a:pt x="367534" y="1020491"/>
                  </a:lnTo>
                  <a:lnTo>
                    <a:pt x="43552" y="1030846"/>
                  </a:ln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301" name="main_buttons_cont#cont" descr="objects[obj_name]=new PIXI.Container();&#10;objects[obj_name].visible=false;&#10;objects[obj_name].x=objects[obj_name].sx=$x;&#10;objects[obj_name].y=objects[obj_name].sy=$y;&#10;&#10;#objects[obj_name].addChild(objects.play_button);&#10;objects[obj_name].addChild(objects.lb_button);&#10;objects[obj_name].addChild(objects.rules_button);&#10;objects[obj_name].addChild(objects.preferences_button);&#10;app.stage.addChild(objects[obj_name]);#png" title="main_buttons_cont#cont">
            <a:extLst>
              <a:ext uri="{FF2B5EF4-FFF2-40B4-BE49-F238E27FC236}">
                <a16:creationId xmlns:a16="http://schemas.microsoft.com/office/drawing/2014/main" id="{00000000-0008-0000-0000-00002D010000}"/>
              </a:ext>
            </a:extLst>
          </xdr:cNvPr>
          <xdr:cNvSpPr/>
        </xdr:nvSpPr>
        <xdr:spPr>
          <a:xfrm>
            <a:off x="1095375" y="2857500"/>
            <a:ext cx="6191250" cy="1809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3</xdr:col>
      <xdr:colOff>0</xdr:colOff>
      <xdr:row>150</xdr:row>
      <xdr:rowOff>0</xdr:rowOff>
    </xdr:from>
    <xdr:to>
      <xdr:col>85</xdr:col>
      <xdr:colOff>0</xdr:colOff>
      <xdr:row>197</xdr:row>
      <xdr:rowOff>0</xdr:rowOff>
    </xdr:to>
    <xdr:grpSp>
      <xdr:nvGrpSpPr>
        <xdr:cNvPr id="2691" name="lb_bcg#imageTOP" title="lb_bcg#image">
          <a:extLs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GrpSpPr/>
      </xdr:nvGrpSpPr>
      <xdr:grpSpPr>
        <a:xfrm>
          <a:off x="285750" y="14287500"/>
          <a:ext cx="7810500" cy="4476750"/>
          <a:chOff x="285750" y="14287500"/>
          <a:chExt cx="7810500" cy="4476750"/>
        </a:xfrm>
      </xdr:grpSpPr>
      <xdr:sp macro="" textlink="">
        <xdr:nvSpPr>
          <xdr:cNvPr id="2687" name="object">
            <a:extLst>
              <a:ext uri="{FF2B5EF4-FFF2-40B4-BE49-F238E27FC236}">
                <a16:creationId xmlns:a16="http://schemas.microsoft.com/office/drawing/2014/main" id="{00000000-0008-0000-0000-00007F0A0000}"/>
              </a:ext>
            </a:extLst>
          </xdr:cNvPr>
          <xdr:cNvSpPr/>
        </xdr:nvSpPr>
        <xdr:spPr>
          <a:xfrm>
            <a:off x="381000" y="14382750"/>
            <a:ext cx="7620000" cy="428625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688" name="object">
            <a:extLst>
              <a:ext uri="{FF2B5EF4-FFF2-40B4-BE49-F238E27FC236}">
                <a16:creationId xmlns:a16="http://schemas.microsoft.com/office/drawing/2014/main" id="{00000000-0008-0000-0000-0000800A0000}"/>
              </a:ext>
            </a:extLst>
          </xdr:cNvPr>
          <xdr:cNvSpPr/>
        </xdr:nvSpPr>
        <xdr:spPr>
          <a:xfrm>
            <a:off x="381001" y="14382750"/>
            <a:ext cx="3274987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4616516"/>
              <a:gd name="connsiteY0" fmla="*/ 0 h 4286250"/>
              <a:gd name="connsiteX1" fmla="*/ 4345100 w 4616516"/>
              <a:gd name="connsiteY1" fmla="*/ 0 h 4286250"/>
              <a:gd name="connsiteX2" fmla="*/ 3553004 w 4616516"/>
              <a:gd name="connsiteY2" fmla="*/ 4286250 h 4286250"/>
              <a:gd name="connsiteX3" fmla="*/ 0 w 4616516"/>
              <a:gd name="connsiteY3" fmla="*/ 4286250 h 4286250"/>
              <a:gd name="connsiteX4" fmla="*/ 0 w 4616516"/>
              <a:gd name="connsiteY4" fmla="*/ 0 h 4286250"/>
              <a:gd name="connsiteX0" fmla="*/ 0 w 4599019"/>
              <a:gd name="connsiteY0" fmla="*/ 0 h 4286250"/>
              <a:gd name="connsiteX1" fmla="*/ 4345100 w 4599019"/>
              <a:gd name="connsiteY1" fmla="*/ 0 h 4286250"/>
              <a:gd name="connsiteX2" fmla="*/ 3553004 w 4599019"/>
              <a:gd name="connsiteY2" fmla="*/ 4286250 h 4286250"/>
              <a:gd name="connsiteX3" fmla="*/ 0 w 4599019"/>
              <a:gd name="connsiteY3" fmla="*/ 4286250 h 4286250"/>
              <a:gd name="connsiteX4" fmla="*/ 0 w 4599019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287780"/>
              <a:gd name="connsiteY0" fmla="*/ 0 h 4286250"/>
              <a:gd name="connsiteX1" fmla="*/ 4060576 w 4287780"/>
              <a:gd name="connsiteY1" fmla="*/ 0 h 4286250"/>
              <a:gd name="connsiteX2" fmla="*/ 3108879 w 4287780"/>
              <a:gd name="connsiteY2" fmla="*/ 4286250 h 4286250"/>
              <a:gd name="connsiteX3" fmla="*/ 0 w 4287780"/>
              <a:gd name="connsiteY3" fmla="*/ 4286250 h 4286250"/>
              <a:gd name="connsiteX4" fmla="*/ 0 w 4287780"/>
              <a:gd name="connsiteY4" fmla="*/ 0 h 4286250"/>
              <a:gd name="connsiteX0" fmla="*/ 0 w 4362973"/>
              <a:gd name="connsiteY0" fmla="*/ 0 h 4286250"/>
              <a:gd name="connsiteX1" fmla="*/ 4060576 w 4362973"/>
              <a:gd name="connsiteY1" fmla="*/ 0 h 4286250"/>
              <a:gd name="connsiteX2" fmla="*/ 3108879 w 4362973"/>
              <a:gd name="connsiteY2" fmla="*/ 4286250 h 4286250"/>
              <a:gd name="connsiteX3" fmla="*/ 0 w 4362973"/>
              <a:gd name="connsiteY3" fmla="*/ 4286250 h 4286250"/>
              <a:gd name="connsiteX4" fmla="*/ 0 w 4362973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62973" h="4286250">
                <a:moveTo>
                  <a:pt x="0" y="0"/>
                </a:moveTo>
                <a:lnTo>
                  <a:pt x="4060576" y="0"/>
                </a:lnTo>
                <a:cubicBezTo>
                  <a:pt x="4889100" y="1952625"/>
                  <a:pt x="3828914" y="3438525"/>
                  <a:pt x="3108879" y="4286250"/>
                </a:cubicBezTo>
                <a:lnTo>
                  <a:pt x="0" y="4286250"/>
                </a:lnTo>
                <a:lnTo>
                  <a:pt x="0" y="0"/>
                </a:lnTo>
                <a:close/>
              </a:path>
            </a:pathLst>
          </a:custGeom>
          <a:solidFill>
            <a:srgbClr val="4040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ru-RU" sz="3200" b="1" i="0" u="none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Лидеры</a:t>
            </a:r>
            <a:r>
              <a:rPr lang="ru-RU" sz="3200" b="1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 игры</a:t>
            </a:r>
            <a:endParaRPr lang="ru-RU" sz="3200" b="1" i="0" u="none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2689" name="object">
            <a:extLst>
              <a:ext uri="{FF2B5EF4-FFF2-40B4-BE49-F238E27FC236}">
                <a16:creationId xmlns:a16="http://schemas.microsoft.com/office/drawing/2014/main" id="{00000000-0008-0000-0000-0000810A0000}"/>
              </a:ext>
            </a:extLst>
          </xdr:cNvPr>
          <xdr:cNvSpPr/>
        </xdr:nvSpPr>
        <xdr:spPr>
          <a:xfrm>
            <a:off x="7048500" y="14382750"/>
            <a:ext cx="952501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5012413"/>
              <a:gd name="connsiteY0" fmla="*/ 0 h 4286250"/>
              <a:gd name="connsiteX1" fmla="*/ 4845008 w 5012413"/>
              <a:gd name="connsiteY1" fmla="*/ 0 h 4286250"/>
              <a:gd name="connsiteX2" fmla="*/ 3273652 w 5012413"/>
              <a:gd name="connsiteY2" fmla="*/ 4286250 h 4286250"/>
              <a:gd name="connsiteX3" fmla="*/ 0 w 5012413"/>
              <a:gd name="connsiteY3" fmla="*/ 4286250 h 4286250"/>
              <a:gd name="connsiteX4" fmla="*/ 0 w 5012413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3273652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5206402"/>
              <a:gd name="connsiteY0" fmla="*/ 0 h 4286250"/>
              <a:gd name="connsiteX1" fmla="*/ 4845008 w 5206402"/>
              <a:gd name="connsiteY1" fmla="*/ 0 h 4286250"/>
              <a:gd name="connsiteX2" fmla="*/ 4845007 w 5206402"/>
              <a:gd name="connsiteY2" fmla="*/ 4286250 h 4286250"/>
              <a:gd name="connsiteX3" fmla="*/ 0 w 5206402"/>
              <a:gd name="connsiteY3" fmla="*/ 4286250 h 4286250"/>
              <a:gd name="connsiteX4" fmla="*/ 0 w 5206402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2880814 w 4845008"/>
              <a:gd name="connsiteY3" fmla="*/ 4286250 h 4286250"/>
              <a:gd name="connsiteX4" fmla="*/ 0 w 4845008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26189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261893 w 1702302"/>
              <a:gd name="connsiteY4" fmla="*/ 0 h 4286250"/>
              <a:gd name="connsiteX0" fmla="*/ 654731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654731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02302" h="4286250">
                <a:moveTo>
                  <a:pt x="916623" y="0"/>
                </a:moveTo>
                <a:lnTo>
                  <a:pt x="1702302" y="0"/>
                </a:lnTo>
                <a:cubicBezTo>
                  <a:pt x="1702302" y="1428750"/>
                  <a:pt x="1702301" y="2857500"/>
                  <a:pt x="1702301" y="4286250"/>
                </a:cubicBezTo>
                <a:lnTo>
                  <a:pt x="0" y="4286250"/>
                </a:lnTo>
                <a:cubicBezTo>
                  <a:pt x="1313827" y="3028950"/>
                  <a:pt x="1684841" y="1590675"/>
                  <a:pt x="916623" y="0"/>
                </a:cubicBezTo>
                <a:close/>
              </a:path>
            </a:pathLst>
          </a:custGeom>
          <a:solidFill>
            <a:srgbClr val="4040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690" name="lb_bcg#image" descr="Кода нет, это картинка#Кода нет, это картинка#png" title="lb_bcg#image">
            <a:extLst>
              <a:ext uri="{FF2B5EF4-FFF2-40B4-BE49-F238E27FC236}">
                <a16:creationId xmlns:a16="http://schemas.microsoft.com/office/drawing/2014/main" id="{00000000-0008-0000-0000-0000820A0000}"/>
              </a:ext>
            </a:extLst>
          </xdr:cNvPr>
          <xdr:cNvSpPr/>
        </xdr:nvSpPr>
        <xdr:spPr>
          <a:xfrm>
            <a:off x="285750" y="1428750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23</xdr:col>
      <xdr:colOff>0</xdr:colOff>
      <xdr:row>55</xdr:row>
      <xdr:rowOff>0</xdr:rowOff>
    </xdr:from>
    <xdr:to>
      <xdr:col>65</xdr:col>
      <xdr:colOff>0</xdr:colOff>
      <xdr:row>97</xdr:row>
      <xdr:rowOff>0</xdr:rowOff>
    </xdr:to>
    <xdr:grpSp>
      <xdr:nvGrpSpPr>
        <xdr:cNvPr id="44" name="board#spriteTOP" title="board#sprite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190750" y="5238750"/>
          <a:ext cx="4000500" cy="4000500"/>
          <a:chOff x="4476750" y="9810750"/>
          <a:chExt cx="4000500" cy="4000500"/>
        </a:xfrm>
      </xdr:grpSpPr>
      <xdr:pic>
        <xdr:nvPicPr>
          <xdr:cNvPr id="42" name="object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schemeClr val="accent3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>
            <a:off x="4572000" y="9906000"/>
            <a:ext cx="3809524" cy="3809524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43" name="board#sprite" descr="objects[obj_name].x=190;&#10;objects[obj_name].y=20;&#10;objects[obj_name].visible=false;&#10;objects[obj_name].interactive=true;&#10;objects[obj_name].pointerdown=function(){game.mouse_down_on_board()};&#10;#app.stage.addChild(objects[obj_name]);#png" title="board#sprite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4476750" y="9810750"/>
            <a:ext cx="4000500" cy="4000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4</xdr:col>
      <xdr:colOff>0</xdr:colOff>
      <xdr:row>80</xdr:row>
      <xdr:rowOff>0</xdr:rowOff>
    </xdr:from>
    <xdr:to>
      <xdr:col>24</xdr:col>
      <xdr:colOff>0</xdr:colOff>
      <xdr:row>101</xdr:row>
      <xdr:rowOff>0</xdr:rowOff>
    </xdr:to>
    <xdr:grpSp>
      <xdr:nvGrpSpPr>
        <xdr:cNvPr id="155" name="message_cont#contTOP">
          <a:extLst>
            <a:ext uri="{FF2B5EF4-FFF2-40B4-BE49-F238E27FC236}">
              <a16:creationId xmlns:a16="http://schemas.microsoft.com/office/drawing/2014/main" id="{85D22925-19B6-444B-86FF-5673F736B9D0}"/>
            </a:ext>
          </a:extLst>
        </xdr:cNvPr>
        <xdr:cNvGrpSpPr/>
      </xdr:nvGrpSpPr>
      <xdr:grpSpPr>
        <a:xfrm>
          <a:off x="381000" y="7620000"/>
          <a:ext cx="1905000" cy="2000250"/>
          <a:chOff x="381000" y="7620000"/>
          <a:chExt cx="1905000" cy="2000250"/>
        </a:xfrm>
      </xdr:grpSpPr>
      <xdr:grpSp>
        <xdr:nvGrpSpPr>
          <xdr:cNvPr id="55" name="message_bcg#spriteTOP" title="message_bcg#sprite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476250" y="7715250"/>
            <a:ext cx="1714500" cy="1619250"/>
            <a:chOff x="4381500" y="9810750"/>
            <a:chExt cx="1714500" cy="1619250"/>
          </a:xfrm>
        </xdr:grpSpPr>
        <xdr:sp macro="" textlink="">
          <xdr:nvSpPr>
            <xdr:cNvPr id="52" name="object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4476750" y="9906000"/>
              <a:ext cx="1524000" cy="1209675"/>
            </a:xfrm>
            <a:prstGeom prst="wedgeRectCallout">
              <a:avLst>
                <a:gd name="adj1" fmla="val -27976"/>
                <a:gd name="adj2" fmla="val 65577"/>
              </a:avLst>
            </a:prstGeom>
            <a:solidFill>
              <a:srgbClr val="365C5B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4" name="message_bcg#sprite" descr="objects[obj_name].x=$x;&#10;objects[obj_name].y=$y;&#10;objects[obj_name].base_tint=objects[obj_name].tint;##png" title="message_bcg#sprite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4381500" y="9810750"/>
              <a:ext cx="1714500" cy="1619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53" name="message_text#block" descr="objects[obj_name]=new PIXI.BitmapText('', {fontName: 'Century Gothic',fontSize: 20});&#10;objects[obj_name].anchor.set(0.5,0,5);&#10;objects[obj_name].maxWidth=150;&#10;objects[obj_name].x=$x;&#10;objects[obj_name].y=$y;&#10;objects[obj_name].base_tint=objects[obj_name].tint=$col;#&#10;&#10;#png" title="message_text#block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857250" y="7905750"/>
            <a:ext cx="952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</a:t>
            </a:r>
          </a:p>
        </xdr:txBody>
      </xdr:sp>
      <xdr:sp macro="" textlink="">
        <xdr:nvSpPr>
          <xdr:cNvPr id="56" name="message_cont#cont" descr="objects[obj_name]=new PIXI.Container();&#10;objects[obj_name].visible=false;&#10;objects[obj_name].sx=objects[obj_name].x=0;&#10;objects[obj_name].sy=objects[obj_name].y=230;&#10;objects[obj_name].show=function(){this.children.forEach(c=&gt;{c.alpha=1;c.tint=c.base_tint})};#objects[obj_name].addChild(objects.message_bcg);&#10;objects[obj_name].addChild(objects.message_text);&#10;app.stage.addChild(objects[obj_name]);&#10;" title="message_cont#cont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381000" y="7620000"/>
            <a:ext cx="1905000" cy="20002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86</xdr:col>
      <xdr:colOff>0</xdr:colOff>
      <xdr:row>3</xdr:row>
      <xdr:rowOff>0</xdr:rowOff>
    </xdr:from>
    <xdr:to>
      <xdr:col>107</xdr:col>
      <xdr:colOff>0</xdr:colOff>
      <xdr:row>6</xdr:row>
      <xdr:rowOff>0</xdr:rowOff>
    </xdr:to>
    <xdr:sp macro="[0]!only_all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191500" y="285750"/>
          <a:ext cx="2000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Penguin Attack Cyrillic" panose="02000500000000020004" pitchFamily="50" charset="0"/>
            </a:rPr>
            <a:t>СОХРАНИТЬ</a:t>
          </a:r>
        </a:p>
      </xdr:txBody>
    </xdr:sp>
    <xdr:clientData/>
  </xdr:twoCellAnchor>
  <xdr:twoCellAnchor>
    <xdr:from>
      <xdr:col>86</xdr:col>
      <xdr:colOff>0</xdr:colOff>
      <xdr:row>7</xdr:row>
      <xdr:rowOff>0</xdr:rowOff>
    </xdr:from>
    <xdr:to>
      <xdr:col>107</xdr:col>
      <xdr:colOff>0</xdr:colOff>
      <xdr:row>10</xdr:row>
      <xdr:rowOff>0</xdr:rowOff>
    </xdr:to>
    <xdr:sp macro="[0]!ЭтаКнига.assign_f3" textlink="">
      <xdr:nvSpPr>
        <xdr:cNvPr id="121" name="Прямоугольник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8191500" y="666750"/>
          <a:ext cx="2000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Penguin Attack Cyrillic" panose="02000500000000020004" pitchFamily="50" charset="0"/>
            </a:rPr>
            <a:t>ВКЛЮЧИТЬ</a:t>
          </a:r>
          <a:r>
            <a:rPr lang="ru-RU" sz="1200" b="1" baseline="0">
              <a:latin typeface="Penguin Attack Cyrillic" panose="02000500000000020004" pitchFamily="50" charset="0"/>
            </a:rPr>
            <a:t> </a:t>
          </a:r>
          <a:r>
            <a:rPr lang="en-US" sz="1200" b="1" baseline="0">
              <a:latin typeface="Penguin Attack Cyrillic" panose="02000500000000020004" pitchFamily="50" charset="0"/>
            </a:rPr>
            <a:t>F3</a:t>
          </a:r>
          <a:endParaRPr lang="ru-RU" sz="1200" b="1">
            <a:latin typeface="Penguin Attack Cyrillic" panose="02000500000000020004" pitchFamily="50" charset="0"/>
          </a:endParaRPr>
        </a:p>
      </xdr:txBody>
    </xdr:sp>
    <xdr:clientData/>
  </xdr:twoCellAnchor>
  <xdr:twoCellAnchor>
    <xdr:from>
      <xdr:col>86</xdr:col>
      <xdr:colOff>0</xdr:colOff>
      <xdr:row>11</xdr:row>
      <xdr:rowOff>0</xdr:rowOff>
    </xdr:from>
    <xdr:to>
      <xdr:col>107</xdr:col>
      <xdr:colOff>0</xdr:colOff>
      <xdr:row>14</xdr:row>
      <xdr:rowOff>0</xdr:rowOff>
    </xdr:to>
    <xdr:sp macro="[0]!only_code" textlink="">
      <xdr:nvSpPr>
        <xdr:cNvPr id="122" name="Прямоугольник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8191500" y="1047750"/>
          <a:ext cx="2000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Penguin Attack Cyrillic" panose="02000500000000020004" pitchFamily="50" charset="0"/>
            </a:rPr>
            <a:t>СОХРАНИТЬ</a:t>
          </a:r>
          <a:r>
            <a:rPr lang="en-US" sz="1200" b="1">
              <a:latin typeface="Penguin Attack Cyrillic" panose="02000500000000020004" pitchFamily="50" charset="0"/>
            </a:rPr>
            <a:t> </a:t>
          </a:r>
          <a:r>
            <a:rPr lang="ru-RU" sz="1200" b="1">
              <a:latin typeface="Penguin Attack Cyrillic" panose="02000500000000020004" pitchFamily="50" charset="0"/>
            </a:rPr>
            <a:t>ТОЛЬКО</a:t>
          </a:r>
          <a:r>
            <a:rPr lang="ru-RU" sz="1200" b="1" baseline="0">
              <a:latin typeface="Penguin Attack Cyrillic" panose="02000500000000020004" pitchFamily="50" charset="0"/>
            </a:rPr>
            <a:t> КОД</a:t>
          </a:r>
          <a:endParaRPr lang="ru-RU" sz="1200" b="1">
            <a:latin typeface="Penguin Attack Cyrillic" panose="02000500000000020004" pitchFamily="50" charset="0"/>
          </a:endParaRPr>
        </a:p>
      </xdr:txBody>
    </xdr:sp>
    <xdr:clientData/>
  </xdr:twoCellAnchor>
  <xdr:twoCellAnchor>
    <xdr:from>
      <xdr:col>37</xdr:col>
      <xdr:colOff>0</xdr:colOff>
      <xdr:row>71</xdr:row>
      <xdr:rowOff>95249</xdr:rowOff>
    </xdr:from>
    <xdr:to>
      <xdr:col>51</xdr:col>
      <xdr:colOff>0</xdr:colOff>
      <xdr:row>77</xdr:row>
      <xdr:rowOff>47624</xdr:rowOff>
    </xdr:to>
    <xdr:sp macro="" textlink="">
      <xdr:nvSpPr>
        <xdr:cNvPr id="116" name="figures#array#32" descr="var num=n;&#10;objects[obj_name][num]=new PIXI.Sprite();&#10;objects[obj_name][num].visible=false;&#10;objects[obj_name][num].width = 50;&#10;objects[obj_name][num].height = 50;#var num=n;&#10;app.stage.addChild(objects[obj_name][num]);" title="figures#array#32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>
          <a:off x="3524250" y="6857999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CHECKERS</a:t>
          </a:r>
          <a:r>
            <a:rPr lang="en-US" sz="1050" baseline="0">
              <a:solidFill>
                <a:schemeClr val="tx1"/>
              </a:solidFill>
              <a:latin typeface="Century Gothic" panose="020B0502020202020204" pitchFamily="34" charset="0"/>
            </a:rPr>
            <a:t> ARRAY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86</xdr:col>
      <xdr:colOff>0</xdr:colOff>
      <xdr:row>101</xdr:row>
      <xdr:rowOff>0</xdr:rowOff>
    </xdr:from>
    <xdr:to>
      <xdr:col>91</xdr:col>
      <xdr:colOff>0</xdr:colOff>
      <xdr:row>106</xdr:row>
      <xdr:rowOff>0</xdr:rowOff>
    </xdr:to>
    <xdr:grpSp>
      <xdr:nvGrpSpPr>
        <xdr:cNvPr id="129" name="selected_frame#spriteTOP" title="selected_frame#sprite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GrpSpPr/>
      </xdr:nvGrpSpPr>
      <xdr:grpSpPr>
        <a:xfrm>
          <a:off x="8191500" y="9620250"/>
          <a:ext cx="476250" cy="476250"/>
          <a:chOff x="3619500" y="4857750"/>
          <a:chExt cx="476250" cy="476250"/>
        </a:xfrm>
      </xdr:grpSpPr>
      <xdr:pic>
        <xdr:nvPicPr>
          <xdr:cNvPr id="130" name="object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747944" y="4979676"/>
            <a:ext cx="321164" cy="307200"/>
          </a:xfrm>
          <a:prstGeom prst="rect">
            <a:avLst/>
          </a:prstGeom>
        </xdr:spPr>
      </xdr:pic>
      <xdr:sp macro="" textlink="">
        <xdr:nvSpPr>
          <xdr:cNvPr id="131" name="selected_frame#sprite" descr="objects[obj_name].visible=false;&#10;#app.stage.addChild(objects[obj_name]);#png" title="selected_frame#sprite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/>
        </xdr:nvSpPr>
        <xdr:spPr>
          <a:xfrm>
            <a:off x="3619500" y="4857750"/>
            <a:ext cx="476250" cy="47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86</xdr:col>
      <xdr:colOff>1</xdr:colOff>
      <xdr:row>123</xdr:row>
      <xdr:rowOff>95249</xdr:rowOff>
    </xdr:from>
    <xdr:to>
      <xdr:col>106</xdr:col>
      <xdr:colOff>0</xdr:colOff>
      <xdr:row>147</xdr:row>
      <xdr:rowOff>0</xdr:rowOff>
    </xdr:to>
    <xdr:grpSp>
      <xdr:nvGrpSpPr>
        <xdr:cNvPr id="734" name="card_bcg#imageTOP" title="card_bcg#image">
          <a:extLst>
            <a:ext uri="{FF2B5EF4-FFF2-40B4-BE49-F238E27FC236}">
              <a16:creationId xmlns:a16="http://schemas.microsoft.com/office/drawing/2014/main" id="{D9BD5F48-E5C0-4CE3-9B8E-8CF847947495}"/>
            </a:ext>
          </a:extLst>
        </xdr:cNvPr>
        <xdr:cNvGrpSpPr/>
      </xdr:nvGrpSpPr>
      <xdr:grpSpPr>
        <a:xfrm>
          <a:off x="8191501" y="11810999"/>
          <a:ext cx="1904999" cy="2190751"/>
          <a:chOff x="11811001" y="13620750"/>
          <a:chExt cx="1904999" cy="2190751"/>
        </a:xfrm>
      </xdr:grpSpPr>
      <xdr:sp macro="" textlink="">
        <xdr:nvSpPr>
          <xdr:cNvPr id="27" name="object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12001499" y="13715999"/>
            <a:ext cx="1524001" cy="1524001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9" name="objec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12287247" y="13811249"/>
            <a:ext cx="952499" cy="857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72" name="card_bcg#image" descr="Кода нет, это картинка#Кода нет, это картинка#png" title="card_bcg#image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11811001" y="13620750"/>
            <a:ext cx="1904999" cy="219075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483" name="Группа 482">
            <a:extLst>
              <a:ext uri="{FF2B5EF4-FFF2-40B4-BE49-F238E27FC236}">
                <a16:creationId xmlns:a16="http://schemas.microsoft.com/office/drawing/2014/main" id="{EFDB9C0D-80C6-42C9-A839-7D3926A8E96D}"/>
              </a:ext>
            </a:extLst>
          </xdr:cNvPr>
          <xdr:cNvGrpSpPr/>
        </xdr:nvGrpSpPr>
        <xdr:grpSpPr>
          <a:xfrm>
            <a:off x="11895674" y="15335251"/>
            <a:ext cx="1698888" cy="393901"/>
            <a:chOff x="8546290" y="15322567"/>
            <a:chExt cx="1699041" cy="393683"/>
          </a:xfrm>
        </xdr:grpSpPr>
        <xdr:sp macro="" textlink="">
          <xdr:nvSpPr>
            <xdr:cNvPr id="484" name="object">
              <a:extLst>
                <a:ext uri="{FF2B5EF4-FFF2-40B4-BE49-F238E27FC236}">
                  <a16:creationId xmlns:a16="http://schemas.microsoft.com/office/drawing/2014/main" id="{0A0A1F01-9586-444B-A542-9A0B668FB278}"/>
                </a:ext>
              </a:extLst>
            </xdr:cNvPr>
            <xdr:cNvSpPr/>
          </xdr:nvSpPr>
          <xdr:spPr>
            <a:xfrm>
              <a:off x="8572500" y="15433221"/>
              <a:ext cx="244078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85" name="object">
              <a:extLst>
                <a:ext uri="{FF2B5EF4-FFF2-40B4-BE49-F238E27FC236}">
                  <a16:creationId xmlns:a16="http://schemas.microsoft.com/office/drawing/2014/main" id="{325502DD-F49D-4E94-8F36-EC61784BEDEA}"/>
                </a:ext>
              </a:extLst>
            </xdr:cNvPr>
            <xdr:cNvSpPr/>
          </xdr:nvSpPr>
          <xdr:spPr>
            <a:xfrm>
              <a:off x="8917783" y="15433221"/>
              <a:ext cx="246402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86" name="object">
              <a:extLst>
                <a:ext uri="{FF2B5EF4-FFF2-40B4-BE49-F238E27FC236}">
                  <a16:creationId xmlns:a16="http://schemas.microsoft.com/office/drawing/2014/main" id="{B2E825A8-35EE-4432-9F6B-92EF694488B9}"/>
                </a:ext>
              </a:extLst>
            </xdr:cNvPr>
            <xdr:cNvSpPr/>
          </xdr:nvSpPr>
          <xdr:spPr>
            <a:xfrm>
              <a:off x="9263064" y="15430499"/>
              <a:ext cx="244078" cy="285751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87" name="object">
              <a:extLst>
                <a:ext uri="{FF2B5EF4-FFF2-40B4-BE49-F238E27FC236}">
                  <a16:creationId xmlns:a16="http://schemas.microsoft.com/office/drawing/2014/main" id="{B437847B-CC82-452A-A598-5BF96A5A0494}"/>
                </a:ext>
              </a:extLst>
            </xdr:cNvPr>
            <xdr:cNvSpPr/>
          </xdr:nvSpPr>
          <xdr:spPr>
            <a:xfrm>
              <a:off x="9608346" y="15433221"/>
              <a:ext cx="244078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88" name="object">
              <a:extLst>
                <a:ext uri="{FF2B5EF4-FFF2-40B4-BE49-F238E27FC236}">
                  <a16:creationId xmlns:a16="http://schemas.microsoft.com/office/drawing/2014/main" id="{83095679-FBDE-44E6-9B1F-A95A3CAC43D9}"/>
                </a:ext>
              </a:extLst>
            </xdr:cNvPr>
            <xdr:cNvSpPr/>
          </xdr:nvSpPr>
          <xdr:spPr>
            <a:xfrm>
              <a:off x="9953629" y="15433221"/>
              <a:ext cx="244077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489" name="object">
              <a:extLst>
                <a:ext uri="{FF2B5EF4-FFF2-40B4-BE49-F238E27FC236}">
                  <a16:creationId xmlns:a16="http://schemas.microsoft.com/office/drawing/2014/main" id="{F84BC8B4-B2C1-4E0C-A095-8DF405101C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546290" y="15430503"/>
              <a:ext cx="292523" cy="270387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490" name="object">
              <a:extLst>
                <a:ext uri="{FF2B5EF4-FFF2-40B4-BE49-F238E27FC236}">
                  <a16:creationId xmlns:a16="http://schemas.microsoft.com/office/drawing/2014/main" id="{E465BAFD-37A6-42F4-9496-9D27140E9DA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46743" y="15445053"/>
              <a:ext cx="250956" cy="253388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491" name="object">
              <a:extLst>
                <a:ext uri="{FF2B5EF4-FFF2-40B4-BE49-F238E27FC236}">
                  <a16:creationId xmlns:a16="http://schemas.microsoft.com/office/drawing/2014/main" id="{954AD1A3-BFE5-4BA2-83D3-A1CC8858DE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94337" y="15438437"/>
              <a:ext cx="280566" cy="259103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492" name="object">
              <a:extLst>
                <a:ext uri="{FF2B5EF4-FFF2-40B4-BE49-F238E27FC236}">
                  <a16:creationId xmlns:a16="http://schemas.microsoft.com/office/drawing/2014/main" id="{44D58C36-E221-4C67-953E-8C7BEC6D86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240102" y="15443511"/>
              <a:ext cx="282484" cy="26220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493" name="object">
              <a:extLst>
                <a:ext uri="{FF2B5EF4-FFF2-40B4-BE49-F238E27FC236}">
                  <a16:creationId xmlns:a16="http://schemas.microsoft.com/office/drawing/2014/main" id="{66103766-E036-4BF8-8191-3CD1B81F08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899921" y="15447685"/>
              <a:ext cx="283625" cy="263559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" textlink="">
          <xdr:nvSpPr>
            <xdr:cNvPr id="494" name="object">
              <a:extLst>
                <a:ext uri="{FF2B5EF4-FFF2-40B4-BE49-F238E27FC236}">
                  <a16:creationId xmlns:a16="http://schemas.microsoft.com/office/drawing/2014/main" id="{07A89C5F-ACA2-4385-B19C-14F648B4DE79}"/>
                </a:ext>
              </a:extLst>
            </xdr:cNvPr>
            <xdr:cNvSpPr/>
          </xdr:nvSpPr>
          <xdr:spPr>
            <a:xfrm>
              <a:off x="9060657" y="15322826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95" name="object">
              <a:extLst>
                <a:ext uri="{FF2B5EF4-FFF2-40B4-BE49-F238E27FC236}">
                  <a16:creationId xmlns:a16="http://schemas.microsoft.com/office/drawing/2014/main" id="{187D3C7B-6A87-424B-AD6D-366FEF593784}"/>
                </a:ext>
              </a:extLst>
            </xdr:cNvPr>
            <xdr:cNvSpPr/>
          </xdr:nvSpPr>
          <xdr:spPr>
            <a:xfrm>
              <a:off x="8715375" y="15322567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96" name="object">
              <a:extLst>
                <a:ext uri="{FF2B5EF4-FFF2-40B4-BE49-F238E27FC236}">
                  <a16:creationId xmlns:a16="http://schemas.microsoft.com/office/drawing/2014/main" id="{29D2C7F2-E0DA-4E74-B298-92E026D3D99A}"/>
                </a:ext>
              </a:extLst>
            </xdr:cNvPr>
            <xdr:cNvSpPr/>
          </xdr:nvSpPr>
          <xdr:spPr>
            <a:xfrm>
              <a:off x="9405940" y="15323085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05" name="object">
              <a:extLst>
                <a:ext uri="{FF2B5EF4-FFF2-40B4-BE49-F238E27FC236}">
                  <a16:creationId xmlns:a16="http://schemas.microsoft.com/office/drawing/2014/main" id="{0FDCA622-6560-450C-BB14-81407E1DB4FA}"/>
                </a:ext>
              </a:extLst>
            </xdr:cNvPr>
            <xdr:cNvSpPr/>
          </xdr:nvSpPr>
          <xdr:spPr>
            <a:xfrm>
              <a:off x="9751222" y="15323344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06" name="object">
              <a:extLst>
                <a:ext uri="{FF2B5EF4-FFF2-40B4-BE49-F238E27FC236}">
                  <a16:creationId xmlns:a16="http://schemas.microsoft.com/office/drawing/2014/main" id="{5F592F9D-03DB-4338-B114-E01B0C4FC1C3}"/>
                </a:ext>
              </a:extLst>
            </xdr:cNvPr>
            <xdr:cNvSpPr/>
          </xdr:nvSpPr>
          <xdr:spPr>
            <a:xfrm>
              <a:off x="10096504" y="15323603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86</xdr:col>
      <xdr:colOff>0</xdr:colOff>
      <xdr:row>107</xdr:row>
      <xdr:rowOff>0</xdr:rowOff>
    </xdr:from>
    <xdr:to>
      <xdr:col>96</xdr:col>
      <xdr:colOff>0</xdr:colOff>
      <xdr:row>116</xdr:row>
      <xdr:rowOff>95249</xdr:rowOff>
    </xdr:to>
    <xdr:grpSp>
      <xdr:nvGrpSpPr>
        <xdr:cNvPr id="191" name="pc_icon#imageTOP" title="pc_icon#image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GrpSpPr/>
      </xdr:nvGrpSpPr>
      <xdr:grpSpPr>
        <a:xfrm>
          <a:off x="8191500" y="10191750"/>
          <a:ext cx="952500" cy="952499"/>
          <a:chOff x="3810000" y="10287000"/>
          <a:chExt cx="952500" cy="952500"/>
        </a:xfrm>
      </xdr:grpSpPr>
      <xdr:sp macro="" textlink="">
        <xdr:nvSpPr>
          <xdr:cNvPr id="192" name="pc_icon#image" descr="Кода нет, это картинка#Кода нет, это картинка#png" title="pc_icon#image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SpPr/>
        </xdr:nvSpPr>
        <xdr:spPr>
          <a:xfrm>
            <a:off x="3810000" y="10287000"/>
            <a:ext cx="952500" cy="952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93" name="object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05250" y="10382250"/>
            <a:ext cx="752475" cy="752475"/>
          </a:xfrm>
          <a:prstGeom prst="rect">
            <a:avLst/>
          </a:prstGeom>
        </xdr:spPr>
      </xdr:pic>
    </xdr:grpSp>
    <xdr:clientData/>
  </xdr:twoCellAnchor>
  <xdr:twoCellAnchor>
    <xdr:from>
      <xdr:col>39</xdr:col>
      <xdr:colOff>0</xdr:colOff>
      <xdr:row>53</xdr:row>
      <xdr:rowOff>0</xdr:rowOff>
    </xdr:from>
    <xdr:to>
      <xdr:col>49</xdr:col>
      <xdr:colOff>0</xdr:colOff>
      <xdr:row>55</xdr:row>
      <xdr:rowOff>0</xdr:rowOff>
    </xdr:to>
    <xdr:sp macro="" textlink="">
      <xdr:nvSpPr>
        <xdr:cNvPr id="300" name="cur_move_text#block" descr="objects[obj_name]=new PIXI.BitmapText('', {fontName: 'Century Gothic',fontSize: 30});&#10;objects[obj_name].anchor.set(0.5,0);&#10;objects[obj_name].x=objects[obj_name].sx=$x;&#10;objects[obj_name].y=objects[obj_name].sy=$y;&#10;objects[obj_name].base_tint=objects[obj_name].tint=$col;#app.stage.addChild(objects[obj_name]);#png" title="cur_move_text#block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>
          <a:off x="3714750" y="5048250"/>
          <a:ext cx="952500" cy="190500"/>
        </a:xfrm>
        <a:prstGeom prst="rect">
          <a:avLst/>
        </a:prstGeom>
        <a:noFill/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ход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85</xdr:col>
      <xdr:colOff>0</xdr:colOff>
      <xdr:row>90</xdr:row>
      <xdr:rowOff>0</xdr:rowOff>
    </xdr:from>
    <xdr:to>
      <xdr:col>102</xdr:col>
      <xdr:colOff>0</xdr:colOff>
      <xdr:row>98</xdr:row>
      <xdr:rowOff>0</xdr:rowOff>
    </xdr:to>
    <xdr:grpSp>
      <xdr:nvGrpSpPr>
        <xdr:cNvPr id="630" name="stop_bot_button#spriteTOP" title="stop_bot_button#sprite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GrpSpPr/>
      </xdr:nvGrpSpPr>
      <xdr:grpSpPr>
        <a:xfrm>
          <a:off x="8096250" y="8572500"/>
          <a:ext cx="1619250" cy="762000"/>
          <a:chOff x="9429751" y="10287000"/>
          <a:chExt cx="1619250" cy="762000"/>
        </a:xfrm>
      </xdr:grpSpPr>
      <xdr:sp macro="" textlink="">
        <xdr:nvSpPr>
          <xdr:cNvPr id="418" name="stop_bot_button#sprite" descr="objects[obj_name].buttonMode=true;&#10;objects[obj_name].interactive=true;&#10;objects[obj_name].visible=false;&#10;objects[obj_name].pointerdown=function(){bot_player.stop()};&#10;objects[obj_name].x=objects[obj_name].sx=620;&#10;objects[obj_name].y=objects[obj_name].sy=$y;&#10;objects[obj_name].base_tint=objects[obj_name].tint;&#10;app.stage.addChild(objects[obj_name]);#objects[obj_name].pointerover=function(){this.tint=0x66ffff};&#10;objects[obj_name].pointerout=function(){this.tint=this.base_tint};#png" title="stop_bot_button#sprite">
            <a:extLst>
              <a:ext uri="{FF2B5EF4-FFF2-40B4-BE49-F238E27FC236}">
                <a16:creationId xmlns:a16="http://schemas.microsoft.com/office/drawing/2014/main" id="{00000000-0008-0000-0000-0000A2010000}"/>
              </a:ext>
            </a:extLst>
          </xdr:cNvPr>
          <xdr:cNvSpPr/>
        </xdr:nvSpPr>
        <xdr:spPr>
          <a:xfrm>
            <a:off x="9429751" y="10287000"/>
            <a:ext cx="1619250" cy="762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20" name="object">
            <a:extLst>
              <a:ext uri="{FF2B5EF4-FFF2-40B4-BE49-F238E27FC236}">
                <a16:creationId xmlns:a16="http://schemas.microsoft.com/office/drawing/2014/main" id="{00000000-0008-0000-0000-0000A4010000}"/>
              </a:ext>
            </a:extLst>
          </xdr:cNvPr>
          <xdr:cNvSpPr/>
        </xdr:nvSpPr>
        <xdr:spPr>
          <a:xfrm>
            <a:off x="9525000" y="10382249"/>
            <a:ext cx="1428750" cy="571501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Завершить</a:t>
            </a:r>
            <a:endParaRPr lang="ru-RU" sz="1600" b="0">
              <a:solidFill>
                <a:schemeClr val="bg2">
                  <a:lumMod val="9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  <a:ea typeface="Yahfie" pitchFamily="2" charset="-128"/>
              <a:cs typeface="Yahfie" pitchFamily="2" charset="-128"/>
            </a:endParaRPr>
          </a:p>
        </xdr:txBody>
      </xdr:sp>
    </xdr:grpSp>
    <xdr:clientData/>
  </xdr:twoCellAnchor>
  <xdr:twoCellAnchor>
    <xdr:from>
      <xdr:col>27</xdr:col>
      <xdr:colOff>0</xdr:colOff>
      <xdr:row>254</xdr:row>
      <xdr:rowOff>0</xdr:rowOff>
    </xdr:from>
    <xdr:to>
      <xdr:col>61</xdr:col>
      <xdr:colOff>0</xdr:colOff>
      <xdr:row>294</xdr:row>
      <xdr:rowOff>0</xdr:rowOff>
    </xdr:to>
    <xdr:grpSp>
      <xdr:nvGrpSpPr>
        <xdr:cNvPr id="163" name="stickers_cont#contTOP">
          <a:extLst>
            <a:ext uri="{FF2B5EF4-FFF2-40B4-BE49-F238E27FC236}">
              <a16:creationId xmlns:a16="http://schemas.microsoft.com/office/drawing/2014/main" id="{1DF15414-117B-46C0-9021-20B5BAAF024A}"/>
            </a:ext>
          </a:extLst>
        </xdr:cNvPr>
        <xdr:cNvGrpSpPr/>
      </xdr:nvGrpSpPr>
      <xdr:grpSpPr>
        <a:xfrm>
          <a:off x="2571750" y="24193500"/>
          <a:ext cx="3238500" cy="3810000"/>
          <a:chOff x="2571750" y="24193500"/>
          <a:chExt cx="3238500" cy="3810000"/>
        </a:xfrm>
      </xdr:grpSpPr>
      <xdr:grpSp>
        <xdr:nvGrpSpPr>
          <xdr:cNvPr id="641" name="stickers_bcg#spriteTOP" title="stickers_bcg#sprite">
            <a:extLst>
              <a:ext uri="{FF2B5EF4-FFF2-40B4-BE49-F238E27FC236}">
                <a16:creationId xmlns:a16="http://schemas.microsoft.com/office/drawing/2014/main" id="{00000000-0008-0000-0000-000081020000}"/>
              </a:ext>
            </a:extLst>
          </xdr:cNvPr>
          <xdr:cNvGrpSpPr/>
        </xdr:nvGrpSpPr>
        <xdr:grpSpPr>
          <a:xfrm>
            <a:off x="2667000" y="24288750"/>
            <a:ext cx="3048000" cy="3333750"/>
            <a:chOff x="5924550" y="958453"/>
            <a:chExt cx="2438400" cy="3036094"/>
          </a:xfrm>
        </xdr:grpSpPr>
        <xdr:sp macro="" textlink="">
          <xdr:nvSpPr>
            <xdr:cNvPr id="668" name="object" descr="Объект без данных: Скругленный прямоугольник 23#" title="#">
              <a:extLst>
                <a:ext uri="{FF2B5EF4-FFF2-40B4-BE49-F238E27FC236}">
                  <a16:creationId xmlns:a16="http://schemas.microsoft.com/office/drawing/2014/main" id="{00000000-0008-0000-0000-00009C020000}"/>
                </a:ext>
              </a:extLst>
            </xdr:cNvPr>
            <xdr:cNvSpPr/>
          </xdr:nvSpPr>
          <xdr:spPr>
            <a:xfrm>
              <a:off x="6000750" y="1047750"/>
              <a:ext cx="2286000" cy="2860051"/>
            </a:xfrm>
            <a:prstGeom prst="roundRect">
              <a:avLst>
                <a:gd name="adj" fmla="val 3911"/>
              </a:avLst>
            </a:prstGeom>
            <a:solidFill>
              <a:srgbClr val="365C5B"/>
            </a:solidFill>
            <a:ln w="381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6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Отправить стикер</a:t>
              </a:r>
            </a:p>
          </xdr:txBody>
        </xdr:sp>
        <xdr:sp macro="" textlink="">
          <xdr:nvSpPr>
            <xdr:cNvPr id="669" name="stickers_bcg#sprite" descr="objects[obj_name].x=$x;&#10;objects[obj_name].y=$y;&#10;objects[obj_name].base_tint=objects[obj_name].tint;##png" title="stickers_bcg#sprite">
              <a:extLst>
                <a:ext uri="{FF2B5EF4-FFF2-40B4-BE49-F238E27FC236}">
                  <a16:creationId xmlns:a16="http://schemas.microsoft.com/office/drawing/2014/main" id="{00000000-0008-0000-0000-00009D020000}"/>
                </a:ext>
              </a:extLst>
            </xdr:cNvPr>
            <xdr:cNvSpPr/>
          </xdr:nvSpPr>
          <xdr:spPr>
            <a:xfrm>
              <a:off x="5924550" y="958453"/>
              <a:ext cx="2438400" cy="3036094"/>
            </a:xfrm>
            <a:prstGeom prst="rect">
              <a:avLst/>
            </a:prstGeom>
            <a:noFill/>
            <a:ln w="12700" cap="flat" cmpd="sng" algn="ctr">
              <a:solidFill>
                <a:schemeClr val="bg2">
                  <a:lumMod val="2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42" name="sticker_0#block" descr="objects[obj_name]=new PIXI.Sprite();&#10;objects[obj_name].x=$x;&#10;objects[obj_name].y=$y;&#10;objects[obj_name].base_tint=objects[obj_name].tint;&#10;objects[obj_name].texture=game_res.resources['sticker_texture_0'].texture;#&#10;&#10;#png" title="sticker_0#block">
            <a:extLst>
              <a:ext uri="{FF2B5EF4-FFF2-40B4-BE49-F238E27FC236}">
                <a16:creationId xmlns:a16="http://schemas.microsoft.com/office/drawing/2014/main" id="{00000000-0008-0000-0000-000082020000}"/>
              </a:ext>
            </a:extLst>
          </xdr:cNvPr>
          <xdr:cNvSpPr/>
        </xdr:nvSpPr>
        <xdr:spPr>
          <a:xfrm>
            <a:off x="2857500" y="24765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3" name="sticker_1#block" descr="objects[obj_name]=new PIXI.Sprite();&#10;objects[obj_name].x=$x;&#10;objects[obj_name].y=$y;&#10;objects[obj_name].base_tint=objects[obj_name].tint;&#10;objects[obj_name].texture=game_res.resources['sticker_texture_1'].texture;#&#10;&#10;" title="sticker_1#block">
            <a:extLst>
              <a:ext uri="{FF2B5EF4-FFF2-40B4-BE49-F238E27FC236}">
                <a16:creationId xmlns:a16="http://schemas.microsoft.com/office/drawing/2014/main" id="{00000000-0008-0000-0000-000083020000}"/>
              </a:ext>
            </a:extLst>
          </xdr:cNvPr>
          <xdr:cNvSpPr/>
        </xdr:nvSpPr>
        <xdr:spPr>
          <a:xfrm>
            <a:off x="3524250" y="24765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4" name="sticker_2#block" descr="objects[obj_name]=new PIXI.Sprite();&#10;objects[obj_name].x=$x;&#10;objects[obj_name].y=$y;&#10;objects[obj_name].base_tint=objects[obj_name].tint;&#10;objects[obj_name].texture=game_res.resources['sticker_texture_2'].texture;#&#10;&#10;" title="sticker_2#block">
            <a:extLst>
              <a:ext uri="{FF2B5EF4-FFF2-40B4-BE49-F238E27FC236}">
                <a16:creationId xmlns:a16="http://schemas.microsoft.com/office/drawing/2014/main" id="{00000000-0008-0000-0000-000084020000}"/>
              </a:ext>
            </a:extLst>
          </xdr:cNvPr>
          <xdr:cNvSpPr/>
        </xdr:nvSpPr>
        <xdr:spPr>
          <a:xfrm>
            <a:off x="4191000" y="24765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5" name="sticker_3#block" descr="objects[obj_name]=new PIXI.Sprite();&#10;objects[obj_name].x=$x;&#10;objects[obj_name].y=$y;&#10;objects[obj_name].base_tint=objects[obj_name].tint;&#10;objects[obj_name].texture=game_res.resources['sticker_texture_3'].texture;#&#10;&#10;" title="sticker_3#block">
            <a:extLst>
              <a:ext uri="{FF2B5EF4-FFF2-40B4-BE49-F238E27FC236}">
                <a16:creationId xmlns:a16="http://schemas.microsoft.com/office/drawing/2014/main" id="{00000000-0008-0000-0000-000085020000}"/>
              </a:ext>
            </a:extLst>
          </xdr:cNvPr>
          <xdr:cNvSpPr/>
        </xdr:nvSpPr>
        <xdr:spPr>
          <a:xfrm>
            <a:off x="4857750" y="24765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6" name="sticker_4#block" descr="objects[obj_name]=new PIXI.Sprite();&#10;objects[obj_name].x=$x;&#10;objects[obj_name].y=$y;&#10;objects[obj_name].base_tint=objects[obj_name].tint;&#10;objects[obj_name].texture=game_res.resources['sticker_texture_4'].texture;#&#10;&#10;" title="sticker_4#block">
            <a:extLst>
              <a:ext uri="{FF2B5EF4-FFF2-40B4-BE49-F238E27FC236}">
                <a16:creationId xmlns:a16="http://schemas.microsoft.com/office/drawing/2014/main" id="{00000000-0008-0000-0000-000086020000}"/>
              </a:ext>
            </a:extLst>
          </xdr:cNvPr>
          <xdr:cNvSpPr/>
        </xdr:nvSpPr>
        <xdr:spPr>
          <a:xfrm>
            <a:off x="2857500" y="25431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7" name="sticker_5#block" descr="objects[obj_name]=new PIXI.Sprite();&#10;objects[obj_name].x=$x;&#10;objects[obj_name].y=$y;&#10;objects[obj_name].base_tint=objects[obj_name].tint;&#10;objects[obj_name].texture=game_res.resources['sticker_texture_5'].texture;#&#10;&#10;" title="sticker_5#block">
            <a:extLst>
              <a:ext uri="{FF2B5EF4-FFF2-40B4-BE49-F238E27FC236}">
                <a16:creationId xmlns:a16="http://schemas.microsoft.com/office/drawing/2014/main" id="{00000000-0008-0000-0000-000087020000}"/>
              </a:ext>
            </a:extLst>
          </xdr:cNvPr>
          <xdr:cNvSpPr/>
        </xdr:nvSpPr>
        <xdr:spPr>
          <a:xfrm>
            <a:off x="3524250" y="25431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8" name="sticker_6#block" descr="objects[obj_name]=new PIXI.Sprite();&#10;objects[obj_name].x=$x;&#10;objects[obj_name].y=$y;&#10;objects[obj_name].base_tint=objects[obj_name].tint;&#10;objects[obj_name].texture=game_res.resources['sticker_texture_6'].texture;#&#10;&#10;" title="sticker_6#block">
            <a:extLst>
              <a:ext uri="{FF2B5EF4-FFF2-40B4-BE49-F238E27FC236}">
                <a16:creationId xmlns:a16="http://schemas.microsoft.com/office/drawing/2014/main" id="{00000000-0008-0000-0000-000088020000}"/>
              </a:ext>
            </a:extLst>
          </xdr:cNvPr>
          <xdr:cNvSpPr/>
        </xdr:nvSpPr>
        <xdr:spPr>
          <a:xfrm>
            <a:off x="4191000" y="25431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6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9" name="sticker_7#block" descr="objects[obj_name]=new PIXI.Sprite();&#10;objects[obj_name].x=$x;&#10;objects[obj_name].y=$y;&#10;objects[obj_name].base_tint=objects[obj_name].tint;&#10;objects[obj_name].texture=game_res.resources['sticker_texture_7'].texture;#&#10;&#10;" title="sticker_7#block">
            <a:extLst>
              <a:ext uri="{FF2B5EF4-FFF2-40B4-BE49-F238E27FC236}">
                <a16:creationId xmlns:a16="http://schemas.microsoft.com/office/drawing/2014/main" id="{00000000-0008-0000-0000-000089020000}"/>
              </a:ext>
            </a:extLst>
          </xdr:cNvPr>
          <xdr:cNvSpPr/>
        </xdr:nvSpPr>
        <xdr:spPr>
          <a:xfrm>
            <a:off x="4857750" y="25431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7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0" name="sticker_8#block" descr="objects[obj_name]=new PIXI.Sprite();&#10;objects[obj_name].x=$x;&#10;objects[obj_name].y=$y;&#10;objects[obj_name].base_tint=objects[obj_name].tint;&#10;objects[obj_name].texture=game_res.resources['sticker_texture_8'].texture;#&#10;&#10;" title="sticker_8#block">
            <a:extLst>
              <a:ext uri="{FF2B5EF4-FFF2-40B4-BE49-F238E27FC236}">
                <a16:creationId xmlns:a16="http://schemas.microsoft.com/office/drawing/2014/main" id="{00000000-0008-0000-0000-00008A020000}"/>
              </a:ext>
            </a:extLst>
          </xdr:cNvPr>
          <xdr:cNvSpPr/>
        </xdr:nvSpPr>
        <xdr:spPr>
          <a:xfrm>
            <a:off x="2857500" y="26098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8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1" name="sticker_9#block" descr="objects[obj_name]=new PIXI.Sprite();&#10;objects[obj_name].x=$x;&#10;objects[obj_name].y=$y;&#10;objects[obj_name].base_tint=objects[obj_name].tint;&#10;objects[obj_name].texture=game_res.resources['sticker_texture_9'].texture;#&#10;&#10;" title="sticker_9#block">
            <a:extLst>
              <a:ext uri="{FF2B5EF4-FFF2-40B4-BE49-F238E27FC236}">
                <a16:creationId xmlns:a16="http://schemas.microsoft.com/office/drawing/2014/main" id="{00000000-0008-0000-0000-00008B020000}"/>
              </a:ext>
            </a:extLst>
          </xdr:cNvPr>
          <xdr:cNvSpPr/>
        </xdr:nvSpPr>
        <xdr:spPr>
          <a:xfrm>
            <a:off x="3524250" y="26098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9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2" name="sticker_10#block" descr="objects[obj_name]=new PIXI.Sprite();&#10;objects[obj_name].x=$x;&#10;objects[obj_name].y=$y;&#10;objects[obj_name].base_tint=objects[obj_name].tint;&#10;objects[obj_name].texture=game_res.resources['sticker_texture_10'].texture;#&#10;&#10;" title="sticker_10#block">
            <a:extLst>
              <a:ext uri="{FF2B5EF4-FFF2-40B4-BE49-F238E27FC236}">
                <a16:creationId xmlns:a16="http://schemas.microsoft.com/office/drawing/2014/main" id="{00000000-0008-0000-0000-00008C020000}"/>
              </a:ext>
            </a:extLst>
          </xdr:cNvPr>
          <xdr:cNvSpPr/>
        </xdr:nvSpPr>
        <xdr:spPr>
          <a:xfrm>
            <a:off x="4191000" y="26098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3" name="sticker_11#block" descr="objects[obj_name]=new PIXI.Sprite();&#10;objects[obj_name].x=$x;&#10;objects[obj_name].y=$y;&#10;objects[obj_name].base_tint=objects[obj_name].tint;&#10;objects[obj_name].texture=game_res.resources['sticker_texture_11'].texture;#&#10;&#10;" title="sticker_11#block">
            <a:extLst>
              <a:ext uri="{FF2B5EF4-FFF2-40B4-BE49-F238E27FC236}">
                <a16:creationId xmlns:a16="http://schemas.microsoft.com/office/drawing/2014/main" id="{00000000-0008-0000-0000-00008D020000}"/>
              </a:ext>
            </a:extLst>
          </xdr:cNvPr>
          <xdr:cNvSpPr/>
        </xdr:nvSpPr>
        <xdr:spPr>
          <a:xfrm>
            <a:off x="4857750" y="26098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4" name="sticker_12#block" descr="objects[obj_name]=new PIXI.Sprite();&#10;objects[obj_name].x=$x;&#10;objects[obj_name].y=$y;&#10;objects[obj_name].base_tint=objects[obj_name].tint;&#10;objects[obj_name].texture=game_res.resources['sticker_texture_12'].texture;#&#10;&#10;" title="sticker_12#block">
            <a:extLst>
              <a:ext uri="{FF2B5EF4-FFF2-40B4-BE49-F238E27FC236}">
                <a16:creationId xmlns:a16="http://schemas.microsoft.com/office/drawing/2014/main" id="{00000000-0008-0000-0000-00008E020000}"/>
              </a:ext>
            </a:extLst>
          </xdr:cNvPr>
          <xdr:cNvSpPr/>
        </xdr:nvSpPr>
        <xdr:spPr>
          <a:xfrm>
            <a:off x="2857500" y="26765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5" name="sticker_13#block" descr="objects[obj_name]=new PIXI.Sprite();&#10;objects[obj_name].x=$x;&#10;objects[obj_name].y=$y;&#10;objects[obj_name].base_tint=objects[obj_name].tint;&#10;objects[obj_name].texture=game_res.resources['sticker_texture_13'].texture;#&#10;&#10;" title="sticker_13#block">
            <a:extLst>
              <a:ext uri="{FF2B5EF4-FFF2-40B4-BE49-F238E27FC236}">
                <a16:creationId xmlns:a16="http://schemas.microsoft.com/office/drawing/2014/main" id="{00000000-0008-0000-0000-00008F020000}"/>
              </a:ext>
            </a:extLst>
          </xdr:cNvPr>
          <xdr:cNvSpPr/>
        </xdr:nvSpPr>
        <xdr:spPr>
          <a:xfrm>
            <a:off x="3524250" y="26765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6" name="sticker_14#block" descr="objects[obj_name]=new PIXI.Sprite();&#10;objects[obj_name].x=$x;&#10;objects[obj_name].y=$y;&#10;objects[obj_name].base_tint=objects[obj_name].tint;&#10;objects[obj_name].texture=game_res.resources['sticker_texture_14'].texture;#&#10;&#10;" title="sticker_14#block">
            <a:extLst>
              <a:ext uri="{FF2B5EF4-FFF2-40B4-BE49-F238E27FC236}">
                <a16:creationId xmlns:a16="http://schemas.microsoft.com/office/drawing/2014/main" id="{00000000-0008-0000-0000-000090020000}"/>
              </a:ext>
            </a:extLst>
          </xdr:cNvPr>
          <xdr:cNvSpPr/>
        </xdr:nvSpPr>
        <xdr:spPr>
          <a:xfrm>
            <a:off x="4191000" y="26765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7" name="sticker_15#block" descr="objects[obj_name]=new PIXI.Sprite();&#10;objects[obj_name].x=$x;&#10;objects[obj_name].y=$y;&#10;objects[obj_name].base_tint=objects[obj_name].tint;&#10;objects[obj_name].texture=game_res.resources['sticker_texture_15'].texture;#&#10;&#10;" title="sticker_15#block">
            <a:extLst>
              <a:ext uri="{FF2B5EF4-FFF2-40B4-BE49-F238E27FC236}">
                <a16:creationId xmlns:a16="http://schemas.microsoft.com/office/drawing/2014/main" id="{00000000-0008-0000-0000-000091020000}"/>
              </a:ext>
            </a:extLst>
          </xdr:cNvPr>
          <xdr:cNvSpPr/>
        </xdr:nvSpPr>
        <xdr:spPr>
          <a:xfrm>
            <a:off x="4857750" y="26765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8" name="stickers_cont#cont" descr="objects[obj_name]=new PIXI.Container();&#10;objects[obj_name].visible=false;&#10;objects[obj_name].ready=true;&#10;objects[obj_name].x=objects[obj_name].sx=$x;&#10;objects[obj_name].y=objects[obj_name].sy=$y;&#10;&#10;#app.stage.addChild(objects[obj_name]);&#10;objects[obj_name].addChild(objects.stickers_bcg);&#10;objects[obj_name].addChild(objects.close_stickers);&#10;&#10;for (var z=0;z&lt;16;z++) {&#10;objects[obj_name].addChild(objects['sticker_'+z]);&#10;objects['sticker_'+z].width=70;&#10;objects['sticker_'+z].height=70;&#10;objects['sticker_'+z].interactive=true;&#10;objects['sticker_'+z].buttonMode=true;&#10;const id=z;&#10;objects['sticker_'+id].pointerover=function(){this.tint=0xFF6666};&#10;objects['sticker_'+id].pointerout=function(){this.tint=this.base_tint};&#10;objects['sticker_'+id].pointerdown=function(){stickers.send(id)};&#10;}&#10;&#10;objects[obj_name].show=function(){this.children.forEach(c=&gt;{c.alpha=1;c.tint=c.base_tint})};&#10;#png" title="stickers_cont#cont">
            <a:extLst>
              <a:ext uri="{FF2B5EF4-FFF2-40B4-BE49-F238E27FC236}">
                <a16:creationId xmlns:a16="http://schemas.microsoft.com/office/drawing/2014/main" id="{00000000-0008-0000-0000-000092020000}"/>
              </a:ext>
            </a:extLst>
          </xdr:cNvPr>
          <xdr:cNvSpPr/>
        </xdr:nvSpPr>
        <xdr:spPr>
          <a:xfrm>
            <a:off x="2571750" y="24193500"/>
            <a:ext cx="3238500" cy="3810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60" name="close_stickers#spriteTOP" title="close_stickers#sprite">
            <a:extLst>
              <a:ext uri="{FF2B5EF4-FFF2-40B4-BE49-F238E27FC236}">
                <a16:creationId xmlns:a16="http://schemas.microsoft.com/office/drawing/2014/main" id="{00000000-0008-0000-0000-000094020000}"/>
              </a:ext>
            </a:extLst>
          </xdr:cNvPr>
          <xdr:cNvGrpSpPr/>
        </xdr:nvGrpSpPr>
        <xdr:grpSpPr>
          <a:xfrm>
            <a:off x="5143500" y="24393525"/>
            <a:ext cx="381000" cy="381000"/>
            <a:chOff x="11620500" y="1047750"/>
            <a:chExt cx="381000" cy="381000"/>
          </a:xfrm>
        </xdr:grpSpPr>
        <xdr:sp macro="" textlink="">
          <xdr:nvSpPr>
            <xdr:cNvPr id="666" name="close_stickers#sprite" descr="objects[obj_name].buttonMode=true;&#10;objects[obj_name].interactive=true;&#10;objects[obj_name].base_tint=objects[obj_name].tint;&#10;objects[obj_name].pointerdown=()=&gt;{stickers.hide_panel()};&#10;objects[obj_name].x=$x;&#10;objects[obj_name].y=$y;&#10;#objects[obj_name].pointerover=function(){this.tint=0xff0000};&#10;objects[obj_name].pointerout=function(){this.tint=0xffffff};#png" title="close_stickers#sprite">
              <a:extLst>
                <a:ext uri="{FF2B5EF4-FFF2-40B4-BE49-F238E27FC236}">
                  <a16:creationId xmlns:a16="http://schemas.microsoft.com/office/drawing/2014/main" id="{00000000-0008-0000-0000-00009A020000}"/>
                </a:ext>
              </a:extLst>
            </xdr:cNvPr>
            <xdr:cNvSpPr/>
          </xdr:nvSpPr>
          <xdr:spPr>
            <a:xfrm>
              <a:off x="11620500" y="1047750"/>
              <a:ext cx="381000" cy="381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67" name="object">
              <a:extLst>
                <a:ext uri="{FF2B5EF4-FFF2-40B4-BE49-F238E27FC236}">
                  <a16:creationId xmlns:a16="http://schemas.microsoft.com/office/drawing/2014/main" id="{00000000-0008-0000-0000-00009B020000}"/>
                </a:ext>
              </a:extLst>
            </xdr:cNvPr>
            <xdr:cNvSpPr/>
          </xdr:nvSpPr>
          <xdr:spPr>
            <a:xfrm rot="2700000">
              <a:off x="11668124" y="1104900"/>
              <a:ext cx="285750" cy="285750"/>
            </a:xfrm>
            <a:prstGeom prst="plus">
              <a:avLst>
                <a:gd name="adj" fmla="val 38334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3</xdr:col>
      <xdr:colOff>0</xdr:colOff>
      <xdr:row>101</xdr:row>
      <xdr:rowOff>0</xdr:rowOff>
    </xdr:from>
    <xdr:to>
      <xdr:col>85</xdr:col>
      <xdr:colOff>0</xdr:colOff>
      <xdr:row>148</xdr:row>
      <xdr:rowOff>0</xdr:rowOff>
    </xdr:to>
    <xdr:grpSp>
      <xdr:nvGrpSpPr>
        <xdr:cNvPr id="294" name="cards_bcg#imageTOP" title="cards_bcg#image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GrpSpPr/>
      </xdr:nvGrpSpPr>
      <xdr:grpSpPr>
        <a:xfrm>
          <a:off x="285750" y="9620250"/>
          <a:ext cx="7810500" cy="4476750"/>
          <a:chOff x="1428750" y="857250"/>
          <a:chExt cx="7810500" cy="4476750"/>
        </a:xfrm>
      </xdr:grpSpPr>
      <xdr:sp macro="" textlink="">
        <xdr:nvSpPr>
          <xdr:cNvPr id="295" name="object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SpPr/>
        </xdr:nvSpPr>
        <xdr:spPr>
          <a:xfrm>
            <a:off x="1524000" y="952500"/>
            <a:ext cx="7620000" cy="4286250"/>
          </a:xfrm>
          <a:prstGeom prst="rect">
            <a:avLst/>
          </a:prstGeom>
          <a:solidFill>
            <a:srgbClr val="4040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800" b="1">
                <a:solidFill>
                  <a:schemeClr val="bg2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Выберите</a:t>
            </a:r>
            <a:r>
              <a:rPr lang="ru-RU" sz="1800" b="1" baseline="0">
                <a:solidFill>
                  <a:schemeClr val="bg2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 соперника</a:t>
            </a:r>
            <a:endParaRPr lang="ru-RU" sz="1800" b="1">
              <a:solidFill>
                <a:schemeClr val="bg2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296" name="cards_bcg#image" descr="Кода нет, это картинка#Кода нет, это картинка#png" title="cards_bcg#image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/>
        </xdr:nvSpPr>
        <xdr:spPr>
          <a:xfrm>
            <a:off x="1428750" y="85725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97" name="object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/>
        </xdr:nvSpPr>
        <xdr:spPr>
          <a:xfrm>
            <a:off x="1619250" y="1333500"/>
            <a:ext cx="7429500" cy="3524250"/>
          </a:xfrm>
          <a:custGeom>
            <a:avLst/>
            <a:gdLst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0 w 7239000"/>
              <a:gd name="connsiteY3" fmla="*/ 3143250 h 3143250"/>
              <a:gd name="connsiteX4" fmla="*/ 0 w 7239000"/>
              <a:gd name="connsiteY4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962525 w 7239000"/>
              <a:gd name="connsiteY3" fmla="*/ 3133725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6315075 w 7239000"/>
              <a:gd name="connsiteY3" fmla="*/ 3143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857750 w 7239000"/>
              <a:gd name="connsiteY3" fmla="*/ 2381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2381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238500"/>
              <a:gd name="connsiteX1" fmla="*/ 7239000 w 7239000"/>
              <a:gd name="connsiteY1" fmla="*/ 95250 h 3238500"/>
              <a:gd name="connsiteX2" fmla="*/ 7239000 w 7239000"/>
              <a:gd name="connsiteY2" fmla="*/ 2476500 h 3238500"/>
              <a:gd name="connsiteX3" fmla="*/ 4857750 w 7239000"/>
              <a:gd name="connsiteY3" fmla="*/ 3238500 h 3238500"/>
              <a:gd name="connsiteX4" fmla="*/ 0 w 7239000"/>
              <a:gd name="connsiteY4" fmla="*/ 3238500 h 3238500"/>
              <a:gd name="connsiteX5" fmla="*/ 0 w 7239000"/>
              <a:gd name="connsiteY5" fmla="*/ 0 h 3238500"/>
              <a:gd name="connsiteX0" fmla="*/ 0 w 7239000"/>
              <a:gd name="connsiteY0" fmla="*/ 0 h 3238500"/>
              <a:gd name="connsiteX1" fmla="*/ 7239000 w 7239000"/>
              <a:gd name="connsiteY1" fmla="*/ 0 h 3238500"/>
              <a:gd name="connsiteX2" fmla="*/ 7239000 w 7239000"/>
              <a:gd name="connsiteY2" fmla="*/ 2476500 h 3238500"/>
              <a:gd name="connsiteX3" fmla="*/ 4857750 w 7239000"/>
              <a:gd name="connsiteY3" fmla="*/ 3238500 h 3238500"/>
              <a:gd name="connsiteX4" fmla="*/ 0 w 7239000"/>
              <a:gd name="connsiteY4" fmla="*/ 3238500 h 3238500"/>
              <a:gd name="connsiteX5" fmla="*/ 0 w 7239000"/>
              <a:gd name="connsiteY5" fmla="*/ 0 h 323850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4857750 w 7239000"/>
              <a:gd name="connsiteY3" fmla="*/ 323850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19050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190500 w 7239000"/>
              <a:gd name="connsiteY5" fmla="*/ 0 h 3524250"/>
              <a:gd name="connsiteX0" fmla="*/ 0 w 7048500"/>
              <a:gd name="connsiteY0" fmla="*/ 0 h 3524250"/>
              <a:gd name="connsiteX1" fmla="*/ 7048500 w 7048500"/>
              <a:gd name="connsiteY1" fmla="*/ 0 h 3524250"/>
              <a:gd name="connsiteX2" fmla="*/ 7048500 w 7048500"/>
              <a:gd name="connsiteY2" fmla="*/ 2476500 h 3524250"/>
              <a:gd name="connsiteX3" fmla="*/ 5619750 w 7048500"/>
              <a:gd name="connsiteY3" fmla="*/ 3524250 h 3524250"/>
              <a:gd name="connsiteX4" fmla="*/ 0 w 7048500"/>
              <a:gd name="connsiteY4" fmla="*/ 3524250 h 3524250"/>
              <a:gd name="connsiteX5" fmla="*/ 0 w 7048500"/>
              <a:gd name="connsiteY5" fmla="*/ 0 h 3524250"/>
              <a:gd name="connsiteX0" fmla="*/ 95250 w 7048500"/>
              <a:gd name="connsiteY0" fmla="*/ 0 h 3524250"/>
              <a:gd name="connsiteX1" fmla="*/ 7048500 w 7048500"/>
              <a:gd name="connsiteY1" fmla="*/ 0 h 3524250"/>
              <a:gd name="connsiteX2" fmla="*/ 7048500 w 7048500"/>
              <a:gd name="connsiteY2" fmla="*/ 2476500 h 3524250"/>
              <a:gd name="connsiteX3" fmla="*/ 5619750 w 7048500"/>
              <a:gd name="connsiteY3" fmla="*/ 3524250 h 3524250"/>
              <a:gd name="connsiteX4" fmla="*/ 0 w 7048500"/>
              <a:gd name="connsiteY4" fmla="*/ 3524250 h 3524250"/>
              <a:gd name="connsiteX5" fmla="*/ 95250 w 704850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52450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6953250"/>
              <a:gd name="connsiteY0" fmla="*/ 0 h 3524250"/>
              <a:gd name="connsiteX1" fmla="*/ 6477000 w 6953250"/>
              <a:gd name="connsiteY1" fmla="*/ 0 h 3524250"/>
              <a:gd name="connsiteX2" fmla="*/ 6953250 w 6953250"/>
              <a:gd name="connsiteY2" fmla="*/ 2476500 h 3524250"/>
              <a:gd name="connsiteX3" fmla="*/ 552450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6477000"/>
              <a:gd name="connsiteY0" fmla="*/ 0 h 3524250"/>
              <a:gd name="connsiteX1" fmla="*/ 6477000 w 6477000"/>
              <a:gd name="connsiteY1" fmla="*/ 0 h 3524250"/>
              <a:gd name="connsiteX2" fmla="*/ 6477000 w 6477000"/>
              <a:gd name="connsiteY2" fmla="*/ 2476500 h 3524250"/>
              <a:gd name="connsiteX3" fmla="*/ 5524500 w 6477000"/>
              <a:gd name="connsiteY3" fmla="*/ 3524250 h 3524250"/>
              <a:gd name="connsiteX4" fmla="*/ 0 w 6477000"/>
              <a:gd name="connsiteY4" fmla="*/ 3524250 h 3524250"/>
              <a:gd name="connsiteX5" fmla="*/ 0 w 6477000"/>
              <a:gd name="connsiteY5" fmla="*/ 0 h 3524250"/>
              <a:gd name="connsiteX0" fmla="*/ 0 w 6667500"/>
              <a:gd name="connsiteY0" fmla="*/ 0 h 3524250"/>
              <a:gd name="connsiteX1" fmla="*/ 6667500 w 6667500"/>
              <a:gd name="connsiteY1" fmla="*/ 0 h 3524250"/>
              <a:gd name="connsiteX2" fmla="*/ 6477000 w 6667500"/>
              <a:gd name="connsiteY2" fmla="*/ 2476500 h 3524250"/>
              <a:gd name="connsiteX3" fmla="*/ 5524500 w 6667500"/>
              <a:gd name="connsiteY3" fmla="*/ 3524250 h 3524250"/>
              <a:gd name="connsiteX4" fmla="*/ 0 w 6667500"/>
              <a:gd name="connsiteY4" fmla="*/ 3524250 h 3524250"/>
              <a:gd name="connsiteX5" fmla="*/ 0 w 6667500"/>
              <a:gd name="connsiteY5" fmla="*/ 0 h 3524250"/>
              <a:gd name="connsiteX0" fmla="*/ 0 w 6667500"/>
              <a:gd name="connsiteY0" fmla="*/ 0 h 3524250"/>
              <a:gd name="connsiteX1" fmla="*/ 6667500 w 6667500"/>
              <a:gd name="connsiteY1" fmla="*/ 0 h 3524250"/>
              <a:gd name="connsiteX2" fmla="*/ 6667500 w 6667500"/>
              <a:gd name="connsiteY2" fmla="*/ 2476500 h 3524250"/>
              <a:gd name="connsiteX3" fmla="*/ 5524500 w 6667500"/>
              <a:gd name="connsiteY3" fmla="*/ 3524250 h 3524250"/>
              <a:gd name="connsiteX4" fmla="*/ 0 w 6667500"/>
              <a:gd name="connsiteY4" fmla="*/ 3524250 h 3524250"/>
              <a:gd name="connsiteX5" fmla="*/ 0 w 6667500"/>
              <a:gd name="connsiteY5" fmla="*/ 0 h 3524250"/>
              <a:gd name="connsiteX0" fmla="*/ 0 w 6762750"/>
              <a:gd name="connsiteY0" fmla="*/ 0 h 3524250"/>
              <a:gd name="connsiteX1" fmla="*/ 6762750 w 6762750"/>
              <a:gd name="connsiteY1" fmla="*/ 0 h 3524250"/>
              <a:gd name="connsiteX2" fmla="*/ 6762750 w 6762750"/>
              <a:gd name="connsiteY2" fmla="*/ 2476500 h 3524250"/>
              <a:gd name="connsiteX3" fmla="*/ 5619750 w 6762750"/>
              <a:gd name="connsiteY3" fmla="*/ 3524250 h 3524250"/>
              <a:gd name="connsiteX4" fmla="*/ 95250 w 6762750"/>
              <a:gd name="connsiteY4" fmla="*/ 3524250 h 3524250"/>
              <a:gd name="connsiteX5" fmla="*/ 0 w 6762750"/>
              <a:gd name="connsiteY5" fmla="*/ 0 h 3524250"/>
              <a:gd name="connsiteX0" fmla="*/ 0 w 6762750"/>
              <a:gd name="connsiteY0" fmla="*/ 0 h 3524250"/>
              <a:gd name="connsiteX1" fmla="*/ 6762750 w 6762750"/>
              <a:gd name="connsiteY1" fmla="*/ 0 h 3524250"/>
              <a:gd name="connsiteX2" fmla="*/ 6762750 w 6762750"/>
              <a:gd name="connsiteY2" fmla="*/ 2476500 h 3524250"/>
              <a:gd name="connsiteX3" fmla="*/ 5619750 w 6762750"/>
              <a:gd name="connsiteY3" fmla="*/ 3524250 h 3524250"/>
              <a:gd name="connsiteX4" fmla="*/ 0 w 6762750"/>
              <a:gd name="connsiteY4" fmla="*/ 3524250 h 3524250"/>
              <a:gd name="connsiteX5" fmla="*/ 0 w 676275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810250 w 6953250"/>
              <a:gd name="connsiteY3" fmla="*/ 3524250 h 3524250"/>
              <a:gd name="connsiteX4" fmla="*/ 190500 w 6953250"/>
              <a:gd name="connsiteY4" fmla="*/ 3524250 h 3524250"/>
              <a:gd name="connsiteX5" fmla="*/ 0 w 695325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81025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695325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334250"/>
              <a:gd name="connsiteY0" fmla="*/ 0 h 3524250"/>
              <a:gd name="connsiteX1" fmla="*/ 7334250 w 7334250"/>
              <a:gd name="connsiteY1" fmla="*/ 0 h 3524250"/>
              <a:gd name="connsiteX2" fmla="*/ 7334250 w 7334250"/>
              <a:gd name="connsiteY2" fmla="*/ 2476500 h 3524250"/>
              <a:gd name="connsiteX3" fmla="*/ 6191250 w 7334250"/>
              <a:gd name="connsiteY3" fmla="*/ 3524250 h 3524250"/>
              <a:gd name="connsiteX4" fmla="*/ 95250 w 7334250"/>
              <a:gd name="connsiteY4" fmla="*/ 3524250 h 3524250"/>
              <a:gd name="connsiteX5" fmla="*/ 0 w 7334250"/>
              <a:gd name="connsiteY5" fmla="*/ 0 h 3524250"/>
              <a:gd name="connsiteX0" fmla="*/ 0 w 7334250"/>
              <a:gd name="connsiteY0" fmla="*/ 0 h 3524250"/>
              <a:gd name="connsiteX1" fmla="*/ 7334250 w 7334250"/>
              <a:gd name="connsiteY1" fmla="*/ 0 h 3524250"/>
              <a:gd name="connsiteX2" fmla="*/ 7334250 w 7334250"/>
              <a:gd name="connsiteY2" fmla="*/ 2476500 h 3524250"/>
              <a:gd name="connsiteX3" fmla="*/ 6191250 w 7334250"/>
              <a:gd name="connsiteY3" fmla="*/ 3524250 h 3524250"/>
              <a:gd name="connsiteX4" fmla="*/ 0 w 7334250"/>
              <a:gd name="connsiteY4" fmla="*/ 3524250 h 3524250"/>
              <a:gd name="connsiteX5" fmla="*/ 0 w 733425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334250 w 7429500"/>
              <a:gd name="connsiteY2" fmla="*/ 24765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4765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5810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5810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7429500" h="3524250">
                <a:moveTo>
                  <a:pt x="0" y="0"/>
                </a:moveTo>
                <a:lnTo>
                  <a:pt x="7429500" y="0"/>
                </a:lnTo>
                <a:lnTo>
                  <a:pt x="7429500" y="2667000"/>
                </a:lnTo>
                <a:cubicBezTo>
                  <a:pt x="6191250" y="2657475"/>
                  <a:pt x="5832475" y="3127375"/>
                  <a:pt x="5810250" y="3524250"/>
                </a:cubicBezTo>
                <a:lnTo>
                  <a:pt x="0" y="3524250"/>
                </a:lnTo>
                <a:lnTo>
                  <a:pt x="0" y="0"/>
                </a:lnTo>
                <a:close/>
              </a:path>
            </a:pathLst>
          </a:custGeom>
          <a:solidFill>
            <a:schemeClr val="tx1">
              <a:lumMod val="65000"/>
              <a:lumOff val="35000"/>
            </a:schemeClr>
          </a:solidFill>
          <a:ln w="19050">
            <a:noFill/>
          </a:ln>
          <a:effectLst>
            <a:innerShdw blurRad="4826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41</xdr:col>
      <xdr:colOff>0</xdr:colOff>
      <xdr:row>152</xdr:row>
      <xdr:rowOff>0</xdr:rowOff>
    </xdr:from>
    <xdr:to>
      <xdr:col>78</xdr:col>
      <xdr:colOff>0</xdr:colOff>
      <xdr:row>159</xdr:row>
      <xdr:rowOff>0</xdr:rowOff>
    </xdr:to>
    <xdr:grpSp>
      <xdr:nvGrpSpPr>
        <xdr:cNvPr id="2683" name="lb_player_card_bcg#imageTOP" title="lb_player_card_bcg#image">
          <a:extLs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GrpSpPr/>
      </xdr:nvGrpSpPr>
      <xdr:grpSpPr>
        <a:xfrm>
          <a:off x="3905250" y="14478000"/>
          <a:ext cx="3524250" cy="666750"/>
          <a:chOff x="8286750" y="3905250"/>
          <a:chExt cx="2476500" cy="666750"/>
        </a:xfrm>
      </xdr:grpSpPr>
      <xdr:sp macro="" textlink="">
        <xdr:nvSpPr>
          <xdr:cNvPr id="2684" name="object">
            <a:extLst>
              <a:ext uri="{FF2B5EF4-FFF2-40B4-BE49-F238E27FC236}">
                <a16:creationId xmlns:a16="http://schemas.microsoft.com/office/drawing/2014/main" id="{00000000-0008-0000-0000-00007C0A0000}"/>
              </a:ext>
            </a:extLst>
          </xdr:cNvPr>
          <xdr:cNvSpPr/>
        </xdr:nvSpPr>
        <xdr:spPr>
          <a:xfrm>
            <a:off x="8382000" y="4000500"/>
            <a:ext cx="2314318" cy="4762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685" name="lb_player_card_bcg#image" descr="Кода нет, это картинка#Кода нет, это картинка#png" title="lb_player_card_bcg#image">
            <a:extLst>
              <a:ext uri="{FF2B5EF4-FFF2-40B4-BE49-F238E27FC236}">
                <a16:creationId xmlns:a16="http://schemas.microsoft.com/office/drawing/2014/main" id="{00000000-0008-0000-0000-00007D0A0000}"/>
              </a:ext>
            </a:extLst>
          </xdr:cNvPr>
          <xdr:cNvSpPr/>
        </xdr:nvSpPr>
        <xdr:spPr>
          <a:xfrm>
            <a:off x="8286750" y="3905250"/>
            <a:ext cx="24765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53</xdr:col>
      <xdr:colOff>19050</xdr:colOff>
      <xdr:row>169</xdr:row>
      <xdr:rowOff>9525</xdr:rowOff>
    </xdr:from>
    <xdr:to>
      <xdr:col>69</xdr:col>
      <xdr:colOff>19050</xdr:colOff>
      <xdr:row>179</xdr:row>
      <xdr:rowOff>9525</xdr:rowOff>
    </xdr:to>
    <xdr:sp macro="" textlink="">
      <xdr:nvSpPr>
        <xdr:cNvPr id="2710" name="lb_cards_cont#block" descr="objects[obj_name]=new PIXI.Container();&#10;objects[obj_name].visible=false;&#10;objects[obj_name].sx=0;#for (let i=0;i&lt;7;i++)&#10;objects[obj_name].addChild(objects.lb_cards[i]);&#10;app.stage.addChild(objects[obj_name]);" title="lb_cards_cont#block">
          <a:extLs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>
        <a:xfrm>
          <a:off x="5067300" y="16106775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54</xdr:col>
      <xdr:colOff>0</xdr:colOff>
      <xdr:row>170</xdr:row>
      <xdr:rowOff>0</xdr:rowOff>
    </xdr:from>
    <xdr:to>
      <xdr:col>68</xdr:col>
      <xdr:colOff>0</xdr:colOff>
      <xdr:row>175</xdr:row>
      <xdr:rowOff>47625</xdr:rowOff>
    </xdr:to>
    <xdr:sp macro="" textlink="">
      <xdr:nvSpPr>
        <xdr:cNvPr id="2711" name="lb_cards#array#7" descr="var num=n;&#10;objects[obj_name][num]=new lb_player_card_class(0,0,num+4);&#10;##png" title="lb_cards#array#7">
          <a:extLs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>
        <a:xfrm>
          <a:off x="5143500" y="16192500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74</xdr:col>
      <xdr:colOff>0</xdr:colOff>
      <xdr:row>183</xdr:row>
      <xdr:rowOff>0</xdr:rowOff>
    </xdr:from>
    <xdr:to>
      <xdr:col>83</xdr:col>
      <xdr:colOff>95248</xdr:colOff>
      <xdr:row>195</xdr:row>
      <xdr:rowOff>0</xdr:rowOff>
    </xdr:to>
    <xdr:sp macro="" textlink="">
      <xdr:nvSpPr>
        <xdr:cNvPr id="2977" name="lb_back_button#block" descr="objects[obj_name]=new PIXI.Sprite();&#10;objects[obj_name].x=$x;&#10;objects[obj_name].y=320;&#10;objects[obj_name].visible=fals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objects[obj_name].texture=objects.back_button.texture;&#10;app.stage.addChild(objects[obj_name]);" title="lb_back_button#block">
          <a:extLs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>
        <a:xfrm>
          <a:off x="7048500" y="17430750"/>
          <a:ext cx="952498" cy="11430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Кнопка возврата</a:t>
          </a:r>
        </a:p>
      </xdr:txBody>
    </xdr:sp>
    <xdr:clientData/>
  </xdr:twoCellAnchor>
  <xdr:twoCellAnchor>
    <xdr:from>
      <xdr:col>38</xdr:col>
      <xdr:colOff>57150</xdr:colOff>
      <xdr:row>70</xdr:row>
      <xdr:rowOff>28575</xdr:rowOff>
    </xdr:from>
    <xdr:to>
      <xdr:col>49</xdr:col>
      <xdr:colOff>9525</xdr:colOff>
      <xdr:row>80</xdr:row>
      <xdr:rowOff>28575</xdr:rowOff>
    </xdr:to>
    <xdr:sp macro="" textlink="">
      <xdr:nvSpPr>
        <xdr:cNvPr id="414" name="sent_sticker_area#block" descr="objects[obj_name]=new PIXI.Sprite();&#10;objects[obj_name].visible=false;&#10;objects[obj_name].sx=objects[obj_name].x=$x;&#10;objects[obj_name].sy=objects[obj_name].y=170;&#10;objects[obj_name].width=$w;&#10;objects[obj_name].height=$h;&#10;#app.stage.addChild(objects[obj_name]);&#10;" title="sent_sticker_area#block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>
          <a:off x="3676650" y="6696075"/>
          <a:ext cx="1000125" cy="952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я</a:t>
          </a:r>
          <a:r>
            <a:rPr lang="ru-RU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отправил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19050</xdr:colOff>
      <xdr:row>81</xdr:row>
      <xdr:rowOff>9525</xdr:rowOff>
    </xdr:from>
    <xdr:to>
      <xdr:col>21</xdr:col>
      <xdr:colOff>19050</xdr:colOff>
      <xdr:row>95</xdr:row>
      <xdr:rowOff>9525</xdr:rowOff>
    </xdr:to>
    <xdr:sp macro="" textlink="">
      <xdr:nvSpPr>
        <xdr:cNvPr id="739" name="rec_sticker_area#block" descr="objects[obj_name]=new PIXI.Sprite();&#10;objects[obj_name].visible=false;&#10;objects[obj_name].sx=objects[obj_name].x=$x;&#10;objects[obj_name].sy=objects[obj_name].y=260;&#10;objects[obj_name].width=$w;&#10;objects[obj_name].height=$h;&#10;#app.stage.addChild(objects[obj_name]);&#10;" title="rec_sticker_area#block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SpPr/>
      </xdr:nvSpPr>
      <xdr:spPr>
        <a:xfrm>
          <a:off x="685800" y="7724775"/>
          <a:ext cx="1333500" cy="1333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я</a:t>
          </a:r>
          <a:r>
            <a:rPr lang="ru-RU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получил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</xdr:col>
      <xdr:colOff>0</xdr:colOff>
      <xdr:row>177</xdr:row>
      <xdr:rowOff>0</xdr:rowOff>
    </xdr:from>
    <xdr:to>
      <xdr:col>22</xdr:col>
      <xdr:colOff>0</xdr:colOff>
      <xdr:row>198</xdr:row>
      <xdr:rowOff>0</xdr:rowOff>
    </xdr:to>
    <xdr:grpSp>
      <xdr:nvGrpSpPr>
        <xdr:cNvPr id="174" name="lb_3_cont#contTOP">
          <a:extLst>
            <a:ext uri="{FF2B5EF4-FFF2-40B4-BE49-F238E27FC236}">
              <a16:creationId xmlns:a16="http://schemas.microsoft.com/office/drawing/2014/main" id="{2827AA32-69A2-4288-933E-46E3A4FA8E73}"/>
            </a:ext>
          </a:extLst>
        </xdr:cNvPr>
        <xdr:cNvGrpSpPr/>
      </xdr:nvGrpSpPr>
      <xdr:grpSpPr>
        <a:xfrm>
          <a:off x="285750" y="16859250"/>
          <a:ext cx="1809750" cy="2000250"/>
          <a:chOff x="285750" y="16859250"/>
          <a:chExt cx="1809750" cy="2000250"/>
        </a:xfrm>
      </xdr:grpSpPr>
      <xdr:sp macro="" textlink="">
        <xdr:nvSpPr>
          <xdr:cNvPr id="2335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#png" title="lb_3_avatar#block">
            <a:extLst>
              <a:ext uri="{FF2B5EF4-FFF2-40B4-BE49-F238E27FC236}">
                <a16:creationId xmlns:a16="http://schemas.microsoft.com/office/drawing/2014/main" id="{00000000-0008-0000-0000-00001F090000}"/>
              </a:ext>
            </a:extLst>
          </xdr:cNvPr>
          <xdr:cNvSpPr/>
        </xdr:nvSpPr>
        <xdr:spPr>
          <a:xfrm>
            <a:off x="666750" y="17335500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2338" name="lb_3_mask#spriteTOP" title="lb_3_mask#sprite">
            <a:extLst>
              <a:ext uri="{FF2B5EF4-FFF2-40B4-BE49-F238E27FC236}">
                <a16:creationId xmlns:a16="http://schemas.microsoft.com/office/drawing/2014/main" id="{00000000-0008-0000-0000-000022090000}"/>
              </a:ext>
            </a:extLst>
          </xdr:cNvPr>
          <xdr:cNvGrpSpPr/>
        </xdr:nvGrpSpPr>
        <xdr:grpSpPr>
          <a:xfrm>
            <a:off x="666750" y="17335500"/>
            <a:ext cx="1143000" cy="1143000"/>
            <a:chOff x="8477250" y="5715000"/>
            <a:chExt cx="1333500" cy="1333500"/>
          </a:xfrm>
        </xdr:grpSpPr>
        <xdr:sp macro="" textlink="">
          <xdr:nvSpPr>
            <xdr:cNvPr id="2342" name="object">
              <a:extLs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343" name="lb_3_mask#sprite" descr="objects[obj_name].x=$x;&#10;objects[obj_name].y=$y;##png" title="lb_3_mask#sprite">
              <a:extLs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339" name="lb_3_name#block" descr="objects[obj_name]=new PIXI.BitmapText('', {fontName: 'Century Gothic',fontSize: 26,align: 'center'});&#10;objects[obj_name].anchor.set(0.5,0);&#10;objects[obj_name].x=$x;&#10;objects[obj_name].y=$y;&#10;objects[obj_name].base_tint=objects[obj_name].tint=$col;##png" title="lb_3_name#block">
            <a:extLst>
              <a:ext uri="{FF2B5EF4-FFF2-40B4-BE49-F238E27FC236}">
                <a16:creationId xmlns:a16="http://schemas.microsoft.com/office/drawing/2014/main" id="{00000000-0008-0000-0000-000023090000}"/>
              </a:ext>
            </a:extLst>
          </xdr:cNvPr>
          <xdr:cNvSpPr/>
        </xdr:nvSpPr>
        <xdr:spPr>
          <a:xfrm>
            <a:off x="666750" y="1809750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2340" name="lb_3_rating#block" descr="objects[obj_name]=new PIXI.BitmapText('', {fontName: 'Century Gothic',fontSize: 28,align: 'center'});&#10;objects[obj_name].anchor.set(0.5,0);&#10;objects[obj_name].x=$x;&#10;objects[obj_name].y=$y;&#10;objects[obj_name].base_tint=objects[obj_name].tint=$col;##png" title="lb_3_rating#block">
            <a:extLst>
              <a:ext uri="{FF2B5EF4-FFF2-40B4-BE49-F238E27FC236}">
                <a16:creationId xmlns:a16="http://schemas.microsoft.com/office/drawing/2014/main" id="{00000000-0008-0000-0000-000024090000}"/>
              </a:ext>
            </a:extLst>
          </xdr:cNvPr>
          <xdr:cNvSpPr/>
        </xdr:nvSpPr>
        <xdr:spPr>
          <a:xfrm>
            <a:off x="666750" y="1834515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2341" name="lb_3_cont#cont" descr="objects[obj_name]=new PIXI.Container();&#10;objects[obj_name].visible=false;&#10;objects[obj_name].x=objects[obj_name].sx=$x;&#10;objects[obj_name].y=objects[obj_name].s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rating);&#10;app.stage.addChild(objects[obj_name]);#png" title="lb_3_cont#cont">
            <a:extLst>
              <a:ext uri="{FF2B5EF4-FFF2-40B4-BE49-F238E27FC236}">
                <a16:creationId xmlns:a16="http://schemas.microsoft.com/office/drawing/2014/main" id="{00000000-0008-0000-0000-000025090000}"/>
              </a:ext>
            </a:extLst>
          </xdr:cNvPr>
          <xdr:cNvSpPr/>
        </xdr:nvSpPr>
        <xdr:spPr>
          <a:xfrm>
            <a:off x="285750" y="16859250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337" name="lb_3_frame#spriteTOP" title="lb_3_frame#sprite">
            <a:extLst>
              <a:ext uri="{FF2B5EF4-FFF2-40B4-BE49-F238E27FC236}">
                <a16:creationId xmlns:a16="http://schemas.microsoft.com/office/drawing/2014/main" id="{00000000-0008-0000-0000-000021090000}"/>
              </a:ext>
            </a:extLst>
          </xdr:cNvPr>
          <xdr:cNvGrpSpPr/>
        </xdr:nvGrpSpPr>
        <xdr:grpSpPr>
          <a:xfrm>
            <a:off x="666750" y="17335500"/>
            <a:ext cx="1143000" cy="1143000"/>
            <a:chOff x="8763000" y="952500"/>
            <a:chExt cx="1524000" cy="1524000"/>
          </a:xfrm>
        </xdr:grpSpPr>
        <xdr:sp macro="" textlink="">
          <xdr:nvSpPr>
            <xdr:cNvPr id="2344" name="object">
              <a:extLs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solidFill>
                <a:schemeClr val="tx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345" name="lb_3_frame#sprite" descr="objects[obj_name].x=$x;&#10;objects[obj_name].y=$y;##png" title="lb_3_frame#sprite">
              <a:extLs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336" name="lb_3_crown#spriteTOP" title="lb_3_crown#sprite">
            <a:extLst>
              <a:ext uri="{FF2B5EF4-FFF2-40B4-BE49-F238E27FC236}">
                <a16:creationId xmlns:a16="http://schemas.microsoft.com/office/drawing/2014/main" id="{00000000-0008-0000-0000-000020090000}"/>
              </a:ext>
            </a:extLst>
          </xdr:cNvPr>
          <xdr:cNvGrpSpPr/>
        </xdr:nvGrpSpPr>
        <xdr:grpSpPr>
          <a:xfrm>
            <a:off x="390525" y="17068800"/>
            <a:ext cx="952500" cy="857250"/>
            <a:chOff x="4048125" y="5029200"/>
            <a:chExt cx="952500" cy="857250"/>
          </a:xfrm>
        </xdr:grpSpPr>
        <xdr:grpSp>
          <xdr:nvGrpSpPr>
            <xdr:cNvPr id="2346" name="Группа 2345">
              <a:extLs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2348" name="object">
                <a:extLst>
                  <a:ext uri="{FF2B5EF4-FFF2-40B4-BE49-F238E27FC236}">
                    <a16:creationId xmlns:a16="http://schemas.microsoft.com/office/drawing/2014/main" id="{00000000-0008-0000-0000-00002C090000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349" name="object">
                <a:extLst>
                  <a:ext uri="{FF2B5EF4-FFF2-40B4-BE49-F238E27FC236}">
                    <a16:creationId xmlns:a16="http://schemas.microsoft.com/office/drawing/2014/main" id="{00000000-0008-0000-0000-00002D09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350" name="object">
                <a:extLst>
                  <a:ext uri="{FF2B5EF4-FFF2-40B4-BE49-F238E27FC236}">
                    <a16:creationId xmlns:a16="http://schemas.microsoft.com/office/drawing/2014/main" id="{00000000-0008-0000-0000-00002E09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351" name="object">
                <a:extLst>
                  <a:ext uri="{FF2B5EF4-FFF2-40B4-BE49-F238E27FC236}">
                    <a16:creationId xmlns:a16="http://schemas.microsoft.com/office/drawing/2014/main" id="{00000000-0008-0000-0000-00002F09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352" name="object">
                <a:extLst>
                  <a:ext uri="{FF2B5EF4-FFF2-40B4-BE49-F238E27FC236}">
                    <a16:creationId xmlns:a16="http://schemas.microsoft.com/office/drawing/2014/main" id="{00000000-0008-0000-0000-000030090000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2347" name="lb_3_crown#sprite" descr="objects[obj_name].x=$x;&#10;objects[obj_name].y=$y;##png" title="lb_3_crown#sprite">
              <a:extLs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5</xdr:col>
      <xdr:colOff>0</xdr:colOff>
      <xdr:row>152</xdr:row>
      <xdr:rowOff>0</xdr:rowOff>
    </xdr:from>
    <xdr:to>
      <xdr:col>26</xdr:col>
      <xdr:colOff>0</xdr:colOff>
      <xdr:row>175</xdr:row>
      <xdr:rowOff>0</xdr:rowOff>
    </xdr:to>
    <xdr:grpSp>
      <xdr:nvGrpSpPr>
        <xdr:cNvPr id="181" name="lb_1_cont#contTOP">
          <a:extLst>
            <a:ext uri="{FF2B5EF4-FFF2-40B4-BE49-F238E27FC236}">
              <a16:creationId xmlns:a16="http://schemas.microsoft.com/office/drawing/2014/main" id="{CC8EA6AD-86F4-43AC-80F5-DD039F9A6F5E}"/>
            </a:ext>
          </a:extLst>
        </xdr:cNvPr>
        <xdr:cNvGrpSpPr/>
      </xdr:nvGrpSpPr>
      <xdr:grpSpPr>
        <a:xfrm>
          <a:off x="476250" y="14478000"/>
          <a:ext cx="2000250" cy="2190750"/>
          <a:chOff x="476250" y="14478000"/>
          <a:chExt cx="2000250" cy="2190750"/>
        </a:xfrm>
      </xdr:grpSpPr>
      <xdr:sp macro="" textlink="">
        <xdr:nvSpPr>
          <xdr:cNvPr id="870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" title="lb_1_avatar#block">
            <a:extLst>
              <a:ext uri="{FF2B5EF4-FFF2-40B4-BE49-F238E27FC236}">
                <a16:creationId xmlns:a16="http://schemas.microsoft.com/office/drawing/2014/main" id="{00000000-0008-0000-0000-000066030000}"/>
              </a:ext>
            </a:extLst>
          </xdr:cNvPr>
          <xdr:cNvSpPr/>
        </xdr:nvSpPr>
        <xdr:spPr>
          <a:xfrm>
            <a:off x="571500" y="1495425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873" name="lb_1_mask#spriteTOP" title="lb_1_mask#sprite">
            <a:extLst>
              <a:ext uri="{FF2B5EF4-FFF2-40B4-BE49-F238E27FC236}">
                <a16:creationId xmlns:a16="http://schemas.microsoft.com/office/drawing/2014/main" id="{00000000-0008-0000-0000-000069030000}"/>
              </a:ext>
            </a:extLst>
          </xdr:cNvPr>
          <xdr:cNvGrpSpPr/>
        </xdr:nvGrpSpPr>
        <xdr:grpSpPr>
          <a:xfrm>
            <a:off x="571500" y="14954250"/>
            <a:ext cx="1619250" cy="1619250"/>
            <a:chOff x="6572250" y="5143500"/>
            <a:chExt cx="1524000" cy="1524000"/>
          </a:xfrm>
        </xdr:grpSpPr>
        <xdr:sp macro="" textlink="">
          <xdr:nvSpPr>
            <xdr:cNvPr id="877" name="object">
              <a:extLst>
                <a:ext uri="{FF2B5EF4-FFF2-40B4-BE49-F238E27FC236}">
                  <a16:creationId xmlns:a16="http://schemas.microsoft.com/office/drawing/2014/main" id="{00000000-0008-0000-0000-00006D030000}"/>
                </a:ext>
              </a:extLst>
            </xdr:cNvPr>
            <xdr:cNvSpPr/>
          </xdr:nvSpPr>
          <xdr:spPr>
            <a:xfrm>
              <a:off x="6661896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78" name="lb_1_mask#sprite" descr="objects[obj_name].x=$x;&#10;objects[obj_name].y=$y;##png" title="lb_1_mask#sprite">
              <a:extLst>
                <a:ext uri="{FF2B5EF4-FFF2-40B4-BE49-F238E27FC236}">
                  <a16:creationId xmlns:a16="http://schemas.microsoft.com/office/drawing/2014/main" id="{00000000-0008-0000-0000-00006E030000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874" name="lb_1_cont#cont" descr="objects[obj_name]=new PIXI.Container();&#10;objects[obj_name].visible=false;&#10;objects[obj_name].x=objects[obj_name].sx=$x;&#10;objects[obj_name].y=objects[obj_name].s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rating);&#10;app.stage.addChild(objects[obj_name]);#png" title="lb_1_cont#cont">
            <a:extLst>
              <a:ext uri="{FF2B5EF4-FFF2-40B4-BE49-F238E27FC236}">
                <a16:creationId xmlns:a16="http://schemas.microsoft.com/office/drawing/2014/main" id="{00000000-0008-0000-0000-00006A030000}"/>
              </a:ext>
            </a:extLst>
          </xdr:cNvPr>
          <xdr:cNvSpPr/>
        </xdr:nvSpPr>
        <xdr:spPr>
          <a:xfrm>
            <a:off x="476250" y="14478000"/>
            <a:ext cx="200025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875" name="lb_1_name#block" descr="objects[obj_name]=new PIXI.BitmapText('', {fontName: 'Century Gothic',fontSize: 30,align: 'center'});&#10;objects[obj_name].anchor.set(0.5,0);&#10;objects[obj_name].x=$x;&#10;objects[obj_name].y=$y;&#10;objects[obj_name].base_tint=objects[obj_name].tint=$col;##png" title="lb_1_name#block">
            <a:extLst>
              <a:ext uri="{FF2B5EF4-FFF2-40B4-BE49-F238E27FC236}">
                <a16:creationId xmlns:a16="http://schemas.microsoft.com/office/drawing/2014/main" id="{00000000-0008-0000-0000-00006B030000}"/>
              </a:ext>
            </a:extLst>
          </xdr:cNvPr>
          <xdr:cNvSpPr/>
        </xdr:nvSpPr>
        <xdr:spPr>
          <a:xfrm>
            <a:off x="571500" y="1605915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876" name="lb_1_rating#block" descr="objects[obj_name]=new PIXI.BitmapText('', {fontName: 'Century Gothic',fontSize: 30,align: 'center'});&#10;objects[obj_name].anchor.set(0.5,0);&#10;objects[obj_name].x=$x;&#10;objects[obj_name].y=$y;&#10;objects[obj_name].base_tint=objects[obj_name].tint=$col;##png" title="lb_1_rating#block">
            <a:extLst>
              <a:ext uri="{FF2B5EF4-FFF2-40B4-BE49-F238E27FC236}">
                <a16:creationId xmlns:a16="http://schemas.microsoft.com/office/drawing/2014/main" id="{00000000-0008-0000-0000-00006C030000}"/>
              </a:ext>
            </a:extLst>
          </xdr:cNvPr>
          <xdr:cNvSpPr/>
        </xdr:nvSpPr>
        <xdr:spPr>
          <a:xfrm>
            <a:off x="571500" y="16316325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872" name="lb_1_frame#spriteTOP" title="lb_1_frame#sprite">
            <a:extLst>
              <a:ext uri="{FF2B5EF4-FFF2-40B4-BE49-F238E27FC236}">
                <a16:creationId xmlns:a16="http://schemas.microsoft.com/office/drawing/2014/main" id="{00000000-0008-0000-0000-000068030000}"/>
              </a:ext>
            </a:extLst>
          </xdr:cNvPr>
          <xdr:cNvGrpSpPr/>
        </xdr:nvGrpSpPr>
        <xdr:grpSpPr>
          <a:xfrm>
            <a:off x="571499" y="14954250"/>
            <a:ext cx="1619250" cy="1619250"/>
            <a:chOff x="8762999" y="952500"/>
            <a:chExt cx="1524000" cy="1524000"/>
          </a:xfrm>
        </xdr:grpSpPr>
        <xdr:sp macro="" textlink="">
          <xdr:nvSpPr>
            <xdr:cNvPr id="879" name="object">
              <a:extLst>
                <a:ext uri="{FF2B5EF4-FFF2-40B4-BE49-F238E27FC236}">
                  <a16:creationId xmlns:a16="http://schemas.microsoft.com/office/drawing/2014/main" id="{00000000-0008-0000-0000-00006F030000}"/>
                </a:ext>
              </a:extLst>
            </xdr:cNvPr>
            <xdr:cNvSpPr/>
          </xdr:nvSpPr>
          <xdr:spPr>
            <a:xfrm>
              <a:off x="8852646" y="1042147"/>
              <a:ext cx="1344705" cy="1344706"/>
            </a:xfrm>
            <a:prstGeom prst="ellipse">
              <a:avLst/>
            </a:prstGeom>
            <a:noFill/>
            <a:ln w="57150" cmpd="sng">
              <a:solidFill>
                <a:schemeClr val="tx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80" name="lb_1_frame#sprite" descr="objects[obj_name].x=$x;&#10;objects[obj_name].y=$y;##png" title="lb_1_frame#sprite">
              <a:extLst>
                <a:ext uri="{FF2B5EF4-FFF2-40B4-BE49-F238E27FC236}">
                  <a16:creationId xmlns:a16="http://schemas.microsoft.com/office/drawing/2014/main" id="{00000000-0008-0000-0000-000070030000}"/>
                </a:ext>
              </a:extLst>
            </xdr:cNvPr>
            <xdr:cNvSpPr/>
          </xdr:nvSpPr>
          <xdr:spPr>
            <a:xfrm>
              <a:off x="8762999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871" name="lb_1_crown#spriteTOP" title="lb_1_crown#sprite">
            <a:extLst>
              <a:ext uri="{FF2B5EF4-FFF2-40B4-BE49-F238E27FC236}">
                <a16:creationId xmlns:a16="http://schemas.microsoft.com/office/drawing/2014/main" id="{00000000-0008-0000-0000-000067030000}"/>
              </a:ext>
            </a:extLst>
          </xdr:cNvPr>
          <xdr:cNvGrpSpPr/>
        </xdr:nvGrpSpPr>
        <xdr:grpSpPr>
          <a:xfrm>
            <a:off x="1409700" y="14706600"/>
            <a:ext cx="952500" cy="857250"/>
            <a:chOff x="9906000" y="952500"/>
            <a:chExt cx="952500" cy="857250"/>
          </a:xfrm>
        </xdr:grpSpPr>
        <xdr:grpSp>
          <xdr:nvGrpSpPr>
            <xdr:cNvPr id="881" name="Группа 880">
              <a:extLst>
                <a:ext uri="{FF2B5EF4-FFF2-40B4-BE49-F238E27FC236}">
                  <a16:creationId xmlns:a16="http://schemas.microsoft.com/office/drawing/2014/main" id="{00000000-0008-0000-0000-000071030000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883" name="object">
                <a:extLst>
                  <a:ext uri="{FF2B5EF4-FFF2-40B4-BE49-F238E27FC236}">
                    <a16:creationId xmlns:a16="http://schemas.microsoft.com/office/drawing/2014/main" id="{00000000-0008-0000-0000-00007303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84" name="object">
                <a:extLst>
                  <a:ext uri="{FF2B5EF4-FFF2-40B4-BE49-F238E27FC236}">
                    <a16:creationId xmlns:a16="http://schemas.microsoft.com/office/drawing/2014/main" id="{00000000-0008-0000-0000-00007403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85" name="object">
                <a:extLst>
                  <a:ext uri="{FF2B5EF4-FFF2-40B4-BE49-F238E27FC236}">
                    <a16:creationId xmlns:a16="http://schemas.microsoft.com/office/drawing/2014/main" id="{00000000-0008-0000-0000-00007503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86" name="object">
                <a:extLst>
                  <a:ext uri="{FF2B5EF4-FFF2-40B4-BE49-F238E27FC236}">
                    <a16:creationId xmlns:a16="http://schemas.microsoft.com/office/drawing/2014/main" id="{00000000-0008-0000-0000-00007603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87" name="object">
                <a:extLst>
                  <a:ext uri="{FF2B5EF4-FFF2-40B4-BE49-F238E27FC236}">
                    <a16:creationId xmlns:a16="http://schemas.microsoft.com/office/drawing/2014/main" id="{00000000-0008-0000-0000-00007703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882" name="lb_1_crown#sprite" descr="objects[obj_name].x=$x;&#10;objects[obj_name].y=$y;##png" title="lb_1_crown#sprite">
              <a:extLst>
                <a:ext uri="{FF2B5EF4-FFF2-40B4-BE49-F238E27FC236}">
                  <a16:creationId xmlns:a16="http://schemas.microsoft.com/office/drawing/2014/main" id="{00000000-0008-0000-0000-000072030000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20</xdr:col>
      <xdr:colOff>0</xdr:colOff>
      <xdr:row>165</xdr:row>
      <xdr:rowOff>9525</xdr:rowOff>
    </xdr:from>
    <xdr:to>
      <xdr:col>41</xdr:col>
      <xdr:colOff>0</xdr:colOff>
      <xdr:row>187</xdr:row>
      <xdr:rowOff>9525</xdr:rowOff>
    </xdr:to>
    <xdr:grpSp>
      <xdr:nvGrpSpPr>
        <xdr:cNvPr id="188" name="lb_2_cont#contTOP">
          <a:extLst>
            <a:ext uri="{FF2B5EF4-FFF2-40B4-BE49-F238E27FC236}">
              <a16:creationId xmlns:a16="http://schemas.microsoft.com/office/drawing/2014/main" id="{419A497F-4BF6-460C-BD6D-83BFC866CBB4}"/>
            </a:ext>
          </a:extLst>
        </xdr:cNvPr>
        <xdr:cNvGrpSpPr/>
      </xdr:nvGrpSpPr>
      <xdr:grpSpPr>
        <a:xfrm>
          <a:off x="1905000" y="15725775"/>
          <a:ext cx="2000250" cy="2095500"/>
          <a:chOff x="1905000" y="15725775"/>
          <a:chExt cx="2000250" cy="2095500"/>
        </a:xfrm>
      </xdr:grpSpPr>
      <xdr:sp macro="" textlink="">
        <xdr:nvSpPr>
          <xdr:cNvPr id="2035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" title="lb_2_avatar#block">
            <a:extLst>
              <a:ext uri="{FF2B5EF4-FFF2-40B4-BE49-F238E27FC236}">
                <a16:creationId xmlns:a16="http://schemas.microsoft.com/office/drawing/2014/main" id="{00000000-0008-0000-0000-0000F3070000}"/>
              </a:ext>
            </a:extLst>
          </xdr:cNvPr>
          <xdr:cNvSpPr/>
        </xdr:nvSpPr>
        <xdr:spPr>
          <a:xfrm>
            <a:off x="2095500" y="16202025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2038" name="lb_2_mask#spriteTOP" title="lb_2_mask#sprite">
            <a:extLst>
              <a:ext uri="{FF2B5EF4-FFF2-40B4-BE49-F238E27FC236}">
                <a16:creationId xmlns:a16="http://schemas.microsoft.com/office/drawing/2014/main" id="{00000000-0008-0000-0000-0000F6070000}"/>
              </a:ext>
            </a:extLst>
          </xdr:cNvPr>
          <xdr:cNvGrpSpPr/>
        </xdr:nvGrpSpPr>
        <xdr:grpSpPr>
          <a:xfrm>
            <a:off x="2000250" y="16106775"/>
            <a:ext cx="1428750" cy="1428750"/>
            <a:chOff x="6572250" y="7524750"/>
            <a:chExt cx="1428750" cy="1428750"/>
          </a:xfrm>
        </xdr:grpSpPr>
        <xdr:sp macro="" textlink="">
          <xdr:nvSpPr>
            <xdr:cNvPr id="2042" name="object">
              <a:extLst>
                <a:ext uri="{FF2B5EF4-FFF2-40B4-BE49-F238E27FC236}">
                  <a16:creationId xmlns:a16="http://schemas.microsoft.com/office/drawing/2014/main" id="{00000000-0008-0000-0000-0000FA070000}"/>
                </a:ext>
              </a:extLst>
            </xdr:cNvPr>
            <xdr:cNvSpPr/>
          </xdr:nvSpPr>
          <xdr:spPr>
            <a:xfrm>
              <a:off x="6667500" y="7620000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043" name="lb_2_mask#sprite" descr="objects[obj_name].x=$x;&#10;objects[obj_name].y=$y;##png" title="lb_2_mask#sprite">
              <a:extLst>
                <a:ext uri="{FF2B5EF4-FFF2-40B4-BE49-F238E27FC236}">
                  <a16:creationId xmlns:a16="http://schemas.microsoft.com/office/drawing/2014/main" id="{00000000-0008-0000-0000-0000FB070000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039" name="lb_2_name#block" descr="objects[obj_name]=new PIXI.BitmapText('', {fontName: 'Century Gothic',fontSize: 28,align: 'center'});&#10;objects[obj_name].anchor.set(0.5,0);&#10;objects[obj_name].x=$x;&#10;objects[obj_name].y=$y;&#10;objects[obj_name].base_tint=objects[obj_name].tint=$col;##png" title="lb_2_name#block">
            <a:extLst>
              <a:ext uri="{FF2B5EF4-FFF2-40B4-BE49-F238E27FC236}">
                <a16:creationId xmlns:a16="http://schemas.microsoft.com/office/drawing/2014/main" id="{00000000-0008-0000-0000-0000F7070000}"/>
              </a:ext>
            </a:extLst>
          </xdr:cNvPr>
          <xdr:cNvSpPr/>
        </xdr:nvSpPr>
        <xdr:spPr>
          <a:xfrm>
            <a:off x="2095500" y="1705927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2040" name="lb_2_rating#block" descr="objects[obj_name]=new PIXI.BitmapText('', {fontName: 'Century Gothic',fontSize: 30,align: 'center'});&#10;objects[obj_name].anchor.set(0.5,0);&#10;objects[obj_name].x=$x;&#10;objects[obj_name].y=$y;&#10;objects[obj_name].base_tint=objects[obj_name].tint=$col;##png" title="lb_2_rating#block">
            <a:extLst>
              <a:ext uri="{FF2B5EF4-FFF2-40B4-BE49-F238E27FC236}">
                <a16:creationId xmlns:a16="http://schemas.microsoft.com/office/drawing/2014/main" id="{00000000-0008-0000-0000-0000F8070000}"/>
              </a:ext>
            </a:extLst>
          </xdr:cNvPr>
          <xdr:cNvSpPr/>
        </xdr:nvSpPr>
        <xdr:spPr>
          <a:xfrm>
            <a:off x="2124075" y="17306925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2041" name="lb_2_cont#cont" descr="objects[obj_name]=new PIXI.Container();&#10;objects[obj_name].visible=false;&#10;objects[obj_name].x=objects[obj_name].sx=$x;&#10;objects[obj_name].y=objects[obj_name].s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rating);&#10;app.stage.addChild(objects[obj_name]);#png" title="lb_2_cont#cont">
            <a:extLst>
              <a:ext uri="{FF2B5EF4-FFF2-40B4-BE49-F238E27FC236}">
                <a16:creationId xmlns:a16="http://schemas.microsoft.com/office/drawing/2014/main" id="{00000000-0008-0000-0000-0000F9070000}"/>
              </a:ext>
            </a:extLst>
          </xdr:cNvPr>
          <xdr:cNvSpPr/>
        </xdr:nvSpPr>
        <xdr:spPr>
          <a:xfrm>
            <a:off x="1905000" y="1572577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037" name="lb_2_frame#spriteTOP" title="lb_2_frame#sprite">
            <a:extLst>
              <a:ext uri="{FF2B5EF4-FFF2-40B4-BE49-F238E27FC236}">
                <a16:creationId xmlns:a16="http://schemas.microsoft.com/office/drawing/2014/main" id="{00000000-0008-0000-0000-0000F5070000}"/>
              </a:ext>
            </a:extLst>
          </xdr:cNvPr>
          <xdr:cNvGrpSpPr/>
        </xdr:nvGrpSpPr>
        <xdr:grpSpPr>
          <a:xfrm>
            <a:off x="2000250" y="16106775"/>
            <a:ext cx="1428750" cy="1428750"/>
            <a:chOff x="8763000" y="952500"/>
            <a:chExt cx="1524000" cy="1524000"/>
          </a:xfrm>
        </xdr:grpSpPr>
        <xdr:sp macro="" textlink="">
          <xdr:nvSpPr>
            <xdr:cNvPr id="2044" name="object">
              <a:extLs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solidFill>
                <a:schemeClr val="tx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045" name="lb_2_frame#sprite" descr="objects[obj_name].x=$x;&#10;objects[obj_name].y=$y;##png" title="lb_2_frame#sprite">
              <a:extLst>
                <a:ext uri="{FF2B5EF4-FFF2-40B4-BE49-F238E27FC236}">
                  <a16:creationId xmlns:a16="http://schemas.microsoft.com/office/drawing/2014/main" id="{00000000-0008-0000-0000-0000FD07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036" name="lb_2_crown#spriteTOP" title="lb_2_crown#sprite">
            <a:extLst>
              <a:ext uri="{FF2B5EF4-FFF2-40B4-BE49-F238E27FC236}">
                <a16:creationId xmlns:a16="http://schemas.microsoft.com/office/drawing/2014/main" id="{00000000-0008-0000-0000-0000F4070000}"/>
              </a:ext>
            </a:extLst>
          </xdr:cNvPr>
          <xdr:cNvGrpSpPr/>
        </xdr:nvGrpSpPr>
        <xdr:grpSpPr>
          <a:xfrm>
            <a:off x="2733675" y="15887700"/>
            <a:ext cx="952500" cy="857250"/>
            <a:chOff x="10001250" y="2000250"/>
            <a:chExt cx="952500" cy="857250"/>
          </a:xfrm>
        </xdr:grpSpPr>
        <xdr:grpSp>
          <xdr:nvGrpSpPr>
            <xdr:cNvPr id="2046" name="Группа 2045">
              <a:extLst>
                <a:ext uri="{FF2B5EF4-FFF2-40B4-BE49-F238E27FC236}">
                  <a16:creationId xmlns:a16="http://schemas.microsoft.com/office/drawing/2014/main" id="{00000000-0008-0000-0000-0000FE070000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2048" name="object">
                <a:extLst>
                  <a:ext uri="{FF2B5EF4-FFF2-40B4-BE49-F238E27FC236}">
                    <a16:creationId xmlns:a16="http://schemas.microsoft.com/office/drawing/2014/main" id="{00000000-0008-0000-0000-00000008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049" name="object">
                <a:extLst>
                  <a:ext uri="{FF2B5EF4-FFF2-40B4-BE49-F238E27FC236}">
                    <a16:creationId xmlns:a16="http://schemas.microsoft.com/office/drawing/2014/main" id="{00000000-0008-0000-0000-00000108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050" name="object">
                <a:extLs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051" name="object">
                <a:extLs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052" name="object">
                <a:extLst>
                  <a:ext uri="{FF2B5EF4-FFF2-40B4-BE49-F238E27FC236}">
                    <a16:creationId xmlns:a16="http://schemas.microsoft.com/office/drawing/2014/main" id="{00000000-0008-0000-0000-00000408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2047" name="lb_2_crown#sprite" descr="objects[obj_name].x=$x;&#10;objects[obj_name].y=$y;##png" title="lb_2_crown#sprite">
              <a:extLst>
                <a:ext uri="{FF2B5EF4-FFF2-40B4-BE49-F238E27FC236}">
                  <a16:creationId xmlns:a16="http://schemas.microsoft.com/office/drawing/2014/main" id="{00000000-0008-0000-0000-0000FF070000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85</xdr:col>
      <xdr:colOff>0</xdr:colOff>
      <xdr:row>82</xdr:row>
      <xdr:rowOff>0</xdr:rowOff>
    </xdr:from>
    <xdr:to>
      <xdr:col>109</xdr:col>
      <xdr:colOff>0</xdr:colOff>
      <xdr:row>90</xdr:row>
      <xdr:rowOff>0</xdr:rowOff>
    </xdr:to>
    <xdr:grpSp>
      <xdr:nvGrpSpPr>
        <xdr:cNvPr id="945" name="wait_response#imageTOP" title="wait_response#image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GrpSpPr/>
      </xdr:nvGrpSpPr>
      <xdr:grpSpPr>
        <a:xfrm>
          <a:off x="8096250" y="7810500"/>
          <a:ext cx="2286000" cy="762000"/>
          <a:chOff x="10858500" y="15335250"/>
          <a:chExt cx="2286000" cy="762000"/>
        </a:xfrm>
      </xdr:grpSpPr>
      <xdr:sp macro="" textlink="">
        <xdr:nvSpPr>
          <xdr:cNvPr id="992" name="object">
            <a:extLst>
              <a:ext uri="{FF2B5EF4-FFF2-40B4-BE49-F238E27FC236}">
                <a16:creationId xmlns:a16="http://schemas.microsoft.com/office/drawing/2014/main" id="{00000000-0008-0000-0000-0000E0030000}"/>
              </a:ext>
            </a:extLst>
          </xdr:cNvPr>
          <xdr:cNvSpPr/>
        </xdr:nvSpPr>
        <xdr:spPr>
          <a:xfrm>
            <a:off x="10953750" y="15430499"/>
            <a:ext cx="2095500" cy="57150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>
                <a:solidFill>
                  <a:schemeClr val="bg2">
                    <a:lumMod val="5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Ждите ответ...</a:t>
            </a:r>
          </a:p>
        </xdr:txBody>
      </xdr:sp>
      <xdr:sp macro="" textlink="">
        <xdr:nvSpPr>
          <xdr:cNvPr id="993" name="wait_response#image" descr="Кода нет, это картинка#Кода нет, это картинка#png" title="wait_response#image">
            <a:extLst>
              <a:ext uri="{FF2B5EF4-FFF2-40B4-BE49-F238E27FC236}">
                <a16:creationId xmlns:a16="http://schemas.microsoft.com/office/drawing/2014/main" id="{00000000-0008-0000-0000-0000E1030000}"/>
              </a:ext>
            </a:extLst>
          </xdr:cNvPr>
          <xdr:cNvSpPr/>
        </xdr:nvSpPr>
        <xdr:spPr>
          <a:xfrm>
            <a:off x="10858500" y="15335250"/>
            <a:ext cx="2286000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BIPs" panose="030F0702030302020204" pitchFamily="66" charset="0"/>
            </a:endParaRPr>
          </a:p>
        </xdr:txBody>
      </xdr:sp>
    </xdr:grpSp>
    <xdr:clientData/>
  </xdr:twoCellAnchor>
  <xdr:twoCellAnchor>
    <xdr:from>
      <xdr:col>7</xdr:col>
      <xdr:colOff>0</xdr:colOff>
      <xdr:row>199</xdr:row>
      <xdr:rowOff>0</xdr:rowOff>
    </xdr:from>
    <xdr:to>
      <xdr:col>83</xdr:col>
      <xdr:colOff>0</xdr:colOff>
      <xdr:row>244</xdr:row>
      <xdr:rowOff>0</xdr:rowOff>
    </xdr:to>
    <xdr:grpSp>
      <xdr:nvGrpSpPr>
        <xdr:cNvPr id="195" name="rules_cont#contTOP">
          <a:extLst>
            <a:ext uri="{FF2B5EF4-FFF2-40B4-BE49-F238E27FC236}">
              <a16:creationId xmlns:a16="http://schemas.microsoft.com/office/drawing/2014/main" id="{40F1FF35-5E75-440F-AC65-965CFAF9B1F6}"/>
            </a:ext>
          </a:extLst>
        </xdr:cNvPr>
        <xdr:cNvGrpSpPr/>
      </xdr:nvGrpSpPr>
      <xdr:grpSpPr>
        <a:xfrm>
          <a:off x="666750" y="18954750"/>
          <a:ext cx="7239000" cy="4286250"/>
          <a:chOff x="666750" y="18954750"/>
          <a:chExt cx="7239000" cy="4286250"/>
        </a:xfrm>
      </xdr:grpSpPr>
      <xdr:grpSp>
        <xdr:nvGrpSpPr>
          <xdr:cNvPr id="290" name="rules_bcg#spriteTOP" title="rules_bcg#sprite">
            <a:extLst>
              <a:ext uri="{FF2B5EF4-FFF2-40B4-BE49-F238E27FC236}">
                <a16:creationId xmlns:a16="http://schemas.microsoft.com/office/drawing/2014/main" id="{00000000-0008-0000-0000-000022010000}"/>
              </a:ext>
            </a:extLst>
          </xdr:cNvPr>
          <xdr:cNvGrpSpPr/>
        </xdr:nvGrpSpPr>
        <xdr:grpSpPr>
          <a:xfrm>
            <a:off x="762000" y="19050001"/>
            <a:ext cx="7048500" cy="4095749"/>
            <a:chOff x="1192895" y="9810751"/>
            <a:chExt cx="6377212" cy="4095749"/>
          </a:xfrm>
        </xdr:grpSpPr>
        <xdr:sp macro="" textlink="">
          <xdr:nvSpPr>
            <xdr:cNvPr id="307" name="object">
              <a:extLst>
                <a:ext uri="{FF2B5EF4-FFF2-40B4-BE49-F238E27FC236}">
                  <a16:creationId xmlns:a16="http://schemas.microsoft.com/office/drawing/2014/main" id="{00000000-0008-0000-0000-000033010000}"/>
                </a:ext>
              </a:extLst>
            </xdr:cNvPr>
            <xdr:cNvSpPr/>
          </xdr:nvSpPr>
          <xdr:spPr>
            <a:xfrm>
              <a:off x="1279074" y="9906000"/>
              <a:ext cx="6204855" cy="390525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Правила и инструкции</a:t>
              </a:r>
            </a:p>
            <a:p>
              <a:pPr algn="ctr"/>
              <a:r>
                <a:rPr lang="ru-RU" sz="12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Цель игры в уголки - быстрее оппонента передвинуть все свои шашки на то место, где изначально располагались его шашки.</a:t>
              </a:r>
            </a:p>
            <a:p>
              <a:pPr algn="ctr"/>
              <a:endParaRPr lang="ru-RU" sz="120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r>
                <a:rPr lang="ru-RU" sz="1200" b="1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Как двигать шашки?</a:t>
              </a:r>
            </a:p>
            <a:p>
              <a:pPr algn="ctr"/>
              <a:r>
                <a:rPr lang="ru-RU" sz="12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Первый вариант: можно подвинуть любую шашку на соседнюю пустую клетку.</a:t>
              </a:r>
            </a:p>
            <a:p>
              <a:pPr algn="ctr"/>
              <a:r>
                <a:rPr lang="ru-RU" sz="12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Второй вариант: "прыгнуть" через свою или чужую шашку, если за ней есть пустая клетка. После прыжка можно тут же, не прерывая хода, совершить ещё один, если есть желание и ситуация на доске позволяет; то есть можно "пропрыгать" всю доску, а можно сделать пару прыжков и остановиться.</a:t>
              </a:r>
            </a:p>
            <a:p>
              <a:pPr algn="ctr"/>
              <a:endParaRPr lang="ru-RU" sz="120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r>
                <a:rPr lang="ru-RU" sz="12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Есть интересное правило: игрок, который не вывел все свои шашки из своего дома за 30 ходов, считается проигравшим. Если у обоих игроков шашки после 30 хода остаются в "доме" то объявляется ничья.</a:t>
              </a:r>
            </a:p>
          </xdr:txBody>
        </xdr:sp>
        <xdr:sp macro="" textlink="">
          <xdr:nvSpPr>
            <xdr:cNvPr id="308" name="rules_bcg#sprite" descr="objects[obj_name].x=$x;&#10;objects[obj_name].y=$y;&#10;objects[obj_name].base_tint=objects[obj_name].tint;##png" title="rules_bcg#sprite">
              <a:extLst>
                <a:ext uri="{FF2B5EF4-FFF2-40B4-BE49-F238E27FC236}">
                  <a16:creationId xmlns:a16="http://schemas.microsoft.com/office/drawing/2014/main" id="{00000000-0008-0000-0000-000034010000}"/>
                </a:ext>
              </a:extLst>
            </xdr:cNvPr>
            <xdr:cNvSpPr/>
          </xdr:nvSpPr>
          <xdr:spPr>
            <a:xfrm>
              <a:off x="1192895" y="9810751"/>
              <a:ext cx="6377212" cy="409574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91" name="rules_ok_button#spriteTOP" title="rules_ok_button#sprite">
            <a:extLst>
              <a:ext uri="{FF2B5EF4-FFF2-40B4-BE49-F238E27FC236}">
                <a16:creationId xmlns:a16="http://schemas.microsoft.com/office/drawing/2014/main" id="{00000000-0008-0000-0000-000023010000}"/>
              </a:ext>
            </a:extLst>
          </xdr:cNvPr>
          <xdr:cNvGrpSpPr/>
        </xdr:nvGrpSpPr>
        <xdr:grpSpPr>
          <a:xfrm>
            <a:off x="3428999" y="22307550"/>
            <a:ext cx="1714500" cy="714375"/>
            <a:chOff x="8667749" y="12211051"/>
            <a:chExt cx="1143000" cy="714375"/>
          </a:xfrm>
        </xdr:grpSpPr>
        <xdr:sp macro="" textlink="">
          <xdr:nvSpPr>
            <xdr:cNvPr id="305" name="object">
              <a:extLst>
                <a:ext uri="{FF2B5EF4-FFF2-40B4-BE49-F238E27FC236}">
                  <a16:creationId xmlns:a16="http://schemas.microsoft.com/office/drawing/2014/main" id="{00000000-0008-0000-0000-000031010000}"/>
                </a:ext>
              </a:extLst>
            </xdr:cNvPr>
            <xdr:cNvSpPr/>
          </xdr:nvSpPr>
          <xdr:spPr>
            <a:xfrm>
              <a:off x="8731249" y="12315828"/>
              <a:ext cx="1016001" cy="523874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1"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3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06" name="rules_ok_button#sprite" descr="objects[obj_name].x=$x;&#10;objects[obj_name].y=$y;&#10;objects[obj_name].interactive=true;&#10;objects[obj_name].buttonMode=true;&#10;objects[obj_name].base_tint=objects[obj_name].tint;&#10;objects[obj_name].pointerdown=function(){main_menu.rules_ok_down()};&#10;objects[obj_name].pointerover=function(){this.tint=0x55ffff};&#10;objects[obj_name].pointerout=function(){this.tint=this.base_tint};&#10;&#10;    ##png" title="rules_ok_button#sprite">
              <a:extLst>
                <a:ext uri="{FF2B5EF4-FFF2-40B4-BE49-F238E27FC236}">
                  <a16:creationId xmlns:a16="http://schemas.microsoft.com/office/drawing/2014/main" id="{00000000-0008-0000-0000-000032010000}"/>
                </a:ext>
              </a:extLst>
            </xdr:cNvPr>
            <xdr:cNvSpPr/>
          </xdr:nvSpPr>
          <xdr:spPr>
            <a:xfrm>
              <a:off x="8667749" y="12211051"/>
              <a:ext cx="114300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92" name="rules_cont#cont" descr="objects[obj_name]=new PIXI.Container();&#10;objects[obj_name].visible=false;&#10;objects[obj_name].sx=objects[obj_name].x=30;&#10;objects[obj_name].sy=objects[obj_name].y=0;&#10;&#10;#objects[obj_name].addChild(objects.rules_bcg);&#10;objects[obj_name].addChild(objects.rules_ok_button);&#10;app.stage.addChild(objects[obj_name]);&#10;#png" title="rules_cont#cont">
            <a:extLst>
              <a:ext uri="{FF2B5EF4-FFF2-40B4-BE49-F238E27FC236}">
                <a16:creationId xmlns:a16="http://schemas.microsoft.com/office/drawing/2014/main" id="{00000000-0008-0000-0000-000024010000}"/>
              </a:ext>
            </a:extLst>
          </xdr:cNvPr>
          <xdr:cNvSpPr/>
        </xdr:nvSpPr>
        <xdr:spPr>
          <a:xfrm>
            <a:off x="666750" y="18954750"/>
            <a:ext cx="7239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26</xdr:col>
      <xdr:colOff>28576</xdr:colOff>
      <xdr:row>144</xdr:row>
      <xdr:rowOff>9525</xdr:rowOff>
    </xdr:from>
    <xdr:to>
      <xdr:col>61</xdr:col>
      <xdr:colOff>28575</xdr:colOff>
      <xdr:row>146</xdr:row>
      <xdr:rowOff>9524</xdr:rowOff>
    </xdr:to>
    <xdr:sp macro="" textlink="">
      <xdr:nvSpPr>
        <xdr:cNvPr id="383" name="players_online#block" descr="objects[obj_name]=new PIXI.BitmapText('', {fontName: 'Century Gothic',fontSize: 25,align: 'center'});&#10;objects[obj_name].anchor.set(0.5,0);&#10;objects[obj_name].x=$x;&#10;objects[obj_name].y=420;&#10;objects[obj_name].base_tint=objects[obj_name].tint=$col;#app.stage.addChild(objects[obj_name]);#png" title="players_online#block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>
          <a:off x="2505076" y="13725525"/>
          <a:ext cx="3333749" cy="190499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Игорков онлайн ? 10</a:t>
          </a:r>
        </a:p>
      </xdr:txBody>
    </xdr:sp>
    <xdr:clientData/>
  </xdr:twoCellAnchor>
  <xdr:twoCellAnchor>
    <xdr:from>
      <xdr:col>5</xdr:col>
      <xdr:colOff>0</xdr:colOff>
      <xdr:row>106</xdr:row>
      <xdr:rowOff>0</xdr:rowOff>
    </xdr:from>
    <xdr:to>
      <xdr:col>25</xdr:col>
      <xdr:colOff>0</xdr:colOff>
      <xdr:row>116</xdr:row>
      <xdr:rowOff>0</xdr:rowOff>
    </xdr:to>
    <xdr:grpSp>
      <xdr:nvGrpSpPr>
        <xdr:cNvPr id="565" name="mini_player_card#imageTOP" title="mini_player_card#image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GrpSpPr/>
      </xdr:nvGrpSpPr>
      <xdr:grpSpPr>
        <a:xfrm>
          <a:off x="476250" y="10096500"/>
          <a:ext cx="1905000" cy="952500"/>
          <a:chOff x="8286750" y="3905250"/>
          <a:chExt cx="1905000" cy="952500"/>
        </a:xfrm>
      </xdr:grpSpPr>
      <xdr:sp macro="" textlink="">
        <xdr:nvSpPr>
          <xdr:cNvPr id="566" name="object">
            <a:extLst>
              <a:ext uri="{FF2B5EF4-FFF2-40B4-BE49-F238E27FC236}">
                <a16:creationId xmlns:a16="http://schemas.microsoft.com/office/drawing/2014/main" id="{00000000-0008-0000-0000-000036020000}"/>
              </a:ext>
            </a:extLst>
          </xdr:cNvPr>
          <xdr:cNvSpPr/>
        </xdr:nvSpPr>
        <xdr:spPr>
          <a:xfrm>
            <a:off x="8382001" y="4000499"/>
            <a:ext cx="1714499" cy="762001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67" name="mini_player_card#image" descr="Кода нет, это картинка#Кода нет, это картинка#png" title="mini_player_card#image">
            <a:extLst>
              <a:ext uri="{FF2B5EF4-FFF2-40B4-BE49-F238E27FC236}">
                <a16:creationId xmlns:a16="http://schemas.microsoft.com/office/drawing/2014/main" id="{00000000-0008-0000-0000-000037020000}"/>
              </a:ext>
            </a:extLst>
          </xdr:cNvPr>
          <xdr:cNvSpPr/>
        </xdr:nvSpPr>
        <xdr:spPr>
          <a:xfrm>
            <a:off x="8286750" y="39052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68" name="object">
            <a:extLst>
              <a:ext uri="{FF2B5EF4-FFF2-40B4-BE49-F238E27FC236}">
                <a16:creationId xmlns:a16="http://schemas.microsoft.com/office/drawing/2014/main" id="{00000000-0008-0000-0000-000038020000}"/>
              </a:ext>
            </a:extLst>
          </xdr:cNvPr>
          <xdr:cNvSpPr/>
        </xdr:nvSpPr>
        <xdr:spPr>
          <a:xfrm>
            <a:off x="8477251" y="409575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27</xdr:col>
      <xdr:colOff>0</xdr:colOff>
      <xdr:row>6</xdr:row>
      <xdr:rowOff>0</xdr:rowOff>
    </xdr:from>
    <xdr:to>
      <xdr:col>61</xdr:col>
      <xdr:colOff>0</xdr:colOff>
      <xdr:row>29</xdr:row>
      <xdr:rowOff>0</xdr:rowOff>
    </xdr:to>
    <xdr:grpSp>
      <xdr:nvGrpSpPr>
        <xdr:cNvPr id="199" name="id_cont#contTOP">
          <a:extLst>
            <a:ext uri="{FF2B5EF4-FFF2-40B4-BE49-F238E27FC236}">
              <a16:creationId xmlns:a16="http://schemas.microsoft.com/office/drawing/2014/main" id="{B793320E-27B2-4390-A5AF-C787DA4C0809}"/>
            </a:ext>
          </a:extLst>
        </xdr:cNvPr>
        <xdr:cNvGrpSpPr/>
      </xdr:nvGrpSpPr>
      <xdr:grpSpPr>
        <a:xfrm>
          <a:off x="2571750" y="571500"/>
          <a:ext cx="3238500" cy="2190750"/>
          <a:chOff x="2571750" y="571500"/>
          <a:chExt cx="3238500" cy="2190750"/>
        </a:xfrm>
      </xdr:grpSpPr>
      <xdr:grpSp>
        <xdr:nvGrpSpPr>
          <xdr:cNvPr id="409" name="id_bcg#spriteTOP" title="id_bcg#sprite">
            <a:extLst>
              <a:ext uri="{FF2B5EF4-FFF2-40B4-BE49-F238E27FC236}">
                <a16:creationId xmlns:a16="http://schemas.microsoft.com/office/drawing/2014/main" id="{00000000-0008-0000-0000-000099010000}"/>
              </a:ext>
            </a:extLst>
          </xdr:cNvPr>
          <xdr:cNvGrpSpPr/>
        </xdr:nvGrpSpPr>
        <xdr:grpSpPr>
          <a:xfrm>
            <a:off x="2666999" y="666750"/>
            <a:ext cx="3048000" cy="1714500"/>
            <a:chOff x="10191750" y="17049750"/>
            <a:chExt cx="3048000" cy="1714500"/>
          </a:xfrm>
        </xdr:grpSpPr>
        <xdr:sp macro="" textlink="">
          <xdr:nvSpPr>
            <xdr:cNvPr id="364" name="object">
              <a:extLst>
                <a:ext uri="{FF2B5EF4-FFF2-40B4-BE49-F238E27FC236}">
                  <a16:creationId xmlns:a16="http://schemas.microsoft.com/office/drawing/2014/main" id="{00000000-0008-0000-0000-00006C010000}"/>
                </a:ext>
              </a:extLst>
            </xdr:cNvPr>
            <xdr:cNvSpPr/>
          </xdr:nvSpPr>
          <xdr:spPr>
            <a:xfrm>
              <a:off x="10286999" y="17145000"/>
              <a:ext cx="2857500" cy="1524000"/>
            </a:xfrm>
            <a:prstGeom prst="rect">
              <a:avLst/>
            </a:prstGeom>
            <a:solidFill>
              <a:schemeClr val="accent4">
                <a:lumMod val="50000"/>
                <a:alpha val="78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66" name="id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6E010000}"/>
                </a:ext>
              </a:extLst>
            </xdr:cNvPr>
            <xdr:cNvSpPr/>
          </xdr:nvSpPr>
          <xdr:spPr>
            <a:xfrm>
              <a:off x="10191750" y="17049750"/>
              <a:ext cx="304800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09" name="object">
              <a:extLst>
                <a:ext uri="{FF2B5EF4-FFF2-40B4-BE49-F238E27FC236}">
                  <a16:creationId xmlns:a16="http://schemas.microsoft.com/office/drawing/2014/main" id="{00000000-0008-0000-0000-000035010000}"/>
                </a:ext>
              </a:extLst>
            </xdr:cNvPr>
            <xdr:cNvSpPr/>
          </xdr:nvSpPr>
          <xdr:spPr>
            <a:xfrm>
              <a:off x="10287000" y="17145000"/>
              <a:ext cx="2857500" cy="285750"/>
            </a:xfrm>
            <a:prstGeom prst="rect">
              <a:avLst/>
            </a:prstGeom>
            <a:solidFill>
              <a:srgbClr val="604900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 b="0" i="0"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Идентификация...</a:t>
              </a:r>
            </a:p>
          </xdr:txBody>
        </xdr:sp>
        <xdr:pic>
          <xdr:nvPicPr>
            <xdr:cNvPr id="408" name="object">
              <a:extLst>
                <a:ext uri="{FF2B5EF4-FFF2-40B4-BE49-F238E27FC236}">
                  <a16:creationId xmlns:a16="http://schemas.microsoft.com/office/drawing/2014/main" id="{00000000-0008-0000-0000-000098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382250" y="17526000"/>
              <a:ext cx="952500" cy="939834"/>
            </a:xfrm>
            <a:prstGeom prst="rect">
              <a:avLst/>
            </a:prstGeom>
          </xdr:spPr>
        </xdr:pic>
      </xdr:grpSp>
      <xdr:sp macro="" textlink="">
        <xdr:nvSpPr>
          <xdr:cNvPr id="354" name="id_name#block" descr="objects[obj_name]=new PIXI.BitmapText('********', {fontName: 'Century Gothic',fontSize: 25,align: 'center'});&#10;objects[obj_name].anchor.set(0.5,0);&#10;objects[obj_name].x=$x;&#10;objects[obj_name].y=$y;&#10;objects[obj_name].base_tint=objects[obj_name].tint=$col;##png" title="id_name#block">
            <a:extLst>
              <a:ext uri="{FF2B5EF4-FFF2-40B4-BE49-F238E27FC236}">
                <a16:creationId xmlns:a16="http://schemas.microsoft.com/office/drawing/2014/main" id="{00000000-0008-0000-0000-000062010000}"/>
              </a:ext>
            </a:extLst>
          </xdr:cNvPr>
          <xdr:cNvSpPr/>
        </xdr:nvSpPr>
        <xdr:spPr>
          <a:xfrm>
            <a:off x="3952875" y="13335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355" name="id_rating#block" descr="objects[obj_name]=new PIXI.BitmapText('*****', {fontName: 'Century Gothic',fontSize: 32,align: 'center'});&#10;objects[obj_name].anchor.set(0.5,0);&#10;objects[obj_name].x=$x;&#10;objects[obj_name].y=$y;&#10;objects[obj_name].base_tint=objects[obj_name].tint=$col;##png" title="id_rating#block">
            <a:extLst>
              <a:ext uri="{FF2B5EF4-FFF2-40B4-BE49-F238E27FC236}">
                <a16:creationId xmlns:a16="http://schemas.microsoft.com/office/drawing/2014/main" id="{00000000-0008-0000-0000-000063010000}"/>
              </a:ext>
            </a:extLst>
          </xdr:cNvPr>
          <xdr:cNvSpPr/>
        </xdr:nvSpPr>
        <xdr:spPr>
          <a:xfrm>
            <a:off x="3952875" y="166687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356" name="id_avatar#block" descr="objects[obj_name]=new PIXI.Sprite();&#10;objects[obj_name].sx=objects[obj_name].x=$x;&#10;objects[obj_name].sy=objects[obj_name].y=$y;&#10;objects[obj_name].width=$w;&#10;objects[obj_name].height=$h;&#10;#&#10;&#10;#png" title="id_avatar#block">
            <a:extLst>
              <a:ext uri="{FF2B5EF4-FFF2-40B4-BE49-F238E27FC236}">
                <a16:creationId xmlns:a16="http://schemas.microsoft.com/office/drawing/2014/main" id="{00000000-0008-0000-0000-000064010000}"/>
              </a:ext>
            </a:extLst>
          </xdr:cNvPr>
          <xdr:cNvSpPr/>
        </xdr:nvSpPr>
        <xdr:spPr>
          <a:xfrm>
            <a:off x="2857500" y="114300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57" name="id_cont#cont" descr="objects[obj_name]=new PIXI.Container();&#10;objects[obj_name].visible=true;&#10;objects[obj_name].x=objects[obj_name].sx=$x;&#10;objects[obj_name].y=objects[obj_name].sy=$y;&#10;&#10;#objects[obj_name].addChild(objects.id_bcg);&#10;objects[obj_name].addChild(objects.id_avatar);&#10;objects[obj_name].addChild(objects.id_name);&#10;objects[obj_name].addChild(objects.id_rating);&#10;objects[obj_name].addChild(objects.id_loup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65010000}"/>
              </a:ext>
            </a:extLst>
          </xdr:cNvPr>
          <xdr:cNvSpPr/>
        </xdr:nvSpPr>
        <xdr:spPr>
          <a:xfrm>
            <a:off x="2571750" y="571500"/>
            <a:ext cx="323850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12" name="id_loup#spriteTOP" title="id_loup#sprite">
            <a:extLst>
              <a:ext uri="{FF2B5EF4-FFF2-40B4-BE49-F238E27FC236}">
                <a16:creationId xmlns:a16="http://schemas.microsoft.com/office/drawing/2014/main" id="{00000000-0008-0000-0000-00009C010000}"/>
              </a:ext>
            </a:extLst>
          </xdr:cNvPr>
          <xdr:cNvGrpSpPr/>
        </xdr:nvGrpSpPr>
        <xdr:grpSpPr>
          <a:xfrm>
            <a:off x="3047999" y="1362075"/>
            <a:ext cx="762000" cy="762000"/>
            <a:chOff x="11620500" y="17335500"/>
            <a:chExt cx="762000" cy="762000"/>
          </a:xfrm>
        </xdr:grpSpPr>
        <xdr:sp macro="" textlink="">
          <xdr:nvSpPr>
            <xdr:cNvPr id="411" name="object">
              <a:extLst>
                <a:ext uri="{FF2B5EF4-FFF2-40B4-BE49-F238E27FC236}">
                  <a16:creationId xmlns:a16="http://schemas.microsoft.com/office/drawing/2014/main" id="{00000000-0008-0000-0000-00009B010000}"/>
                </a:ext>
              </a:extLst>
            </xdr:cNvPr>
            <xdr:cNvSpPr/>
          </xdr:nvSpPr>
          <xdr:spPr>
            <a:xfrm rot="18849395">
              <a:off x="12010470" y="17676961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0" name="object">
              <a:extLst>
                <a:ext uri="{FF2B5EF4-FFF2-40B4-BE49-F238E27FC236}">
                  <a16:creationId xmlns:a16="http://schemas.microsoft.com/office/drawing/2014/main" id="{00000000-0008-0000-0000-00009A010000}"/>
                </a:ext>
              </a:extLst>
            </xdr:cNvPr>
            <xdr:cNvSpPr/>
          </xdr:nvSpPr>
          <xdr:spPr>
            <a:xfrm>
              <a:off x="11759803" y="17487951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80" name="id_loup#sprite" descr="objects[obj_name].sx=objects[obj_name].x=$x;&#10;objects[obj_name].sy=objects[obj_name].y=$y;&#10;objects[obj_name].anchor.set(0.5,0.5);##png" title="id_loup#sprite">
              <a:extLst>
                <a:ext uri="{FF2B5EF4-FFF2-40B4-BE49-F238E27FC236}">
                  <a16:creationId xmlns:a16="http://schemas.microsoft.com/office/drawing/2014/main" id="{00000000-0008-0000-0000-000044020000}"/>
                </a:ext>
              </a:extLst>
            </xdr:cNvPr>
            <xdr:cNvSpPr/>
          </xdr:nvSpPr>
          <xdr:spPr>
            <a:xfrm>
              <a:off x="11620500" y="173355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91</xdr:col>
      <xdr:colOff>0</xdr:colOff>
      <xdr:row>180</xdr:row>
      <xdr:rowOff>0</xdr:rowOff>
    </xdr:from>
    <xdr:to>
      <xdr:col>111</xdr:col>
      <xdr:colOff>0</xdr:colOff>
      <xdr:row>190</xdr:row>
      <xdr:rowOff>0</xdr:rowOff>
    </xdr:to>
    <xdr:grpSp>
      <xdr:nvGrpSpPr>
        <xdr:cNvPr id="312" name="mini_player_card_table#imageTOP" title="mini_player_card_table#image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GrpSpPr/>
      </xdr:nvGrpSpPr>
      <xdr:grpSpPr>
        <a:xfrm>
          <a:off x="8667750" y="17145000"/>
          <a:ext cx="1905000" cy="952500"/>
          <a:chOff x="8286750" y="3905250"/>
          <a:chExt cx="1905000" cy="952500"/>
        </a:xfrm>
      </xdr:grpSpPr>
      <xdr:sp macro="" textlink="">
        <xdr:nvSpPr>
          <xdr:cNvPr id="313" name="object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SpPr/>
        </xdr:nvSpPr>
        <xdr:spPr>
          <a:xfrm>
            <a:off x="8382001" y="4000499"/>
            <a:ext cx="1714499" cy="762001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4" name="mini_player_card_table#image" descr="Кода нет, это картинка#Кода нет, это картинка#png" title="mini_player_card_table#image">
            <a:extLst>
              <a:ext uri="{FF2B5EF4-FFF2-40B4-BE49-F238E27FC236}">
                <a16:creationId xmlns:a16="http://schemas.microsoft.com/office/drawing/2014/main" id="{00000000-0008-0000-0000-00003A010000}"/>
              </a:ext>
            </a:extLst>
          </xdr:cNvPr>
          <xdr:cNvSpPr/>
        </xdr:nvSpPr>
        <xdr:spPr>
          <a:xfrm>
            <a:off x="8286750" y="39052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15" name="object">
            <a:extLst>
              <a:ext uri="{FF2B5EF4-FFF2-40B4-BE49-F238E27FC236}">
                <a16:creationId xmlns:a16="http://schemas.microsoft.com/office/drawing/2014/main" id="{00000000-0008-0000-0000-00003B010000}"/>
              </a:ext>
            </a:extLst>
          </xdr:cNvPr>
          <xdr:cNvSpPr/>
        </xdr:nvSpPr>
        <xdr:spPr>
          <a:xfrm>
            <a:off x="8477251" y="409575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6" name="object">
            <a:extLst>
              <a:ext uri="{FF2B5EF4-FFF2-40B4-BE49-F238E27FC236}">
                <a16:creationId xmlns:a16="http://schemas.microsoft.com/office/drawing/2014/main" id="{00000000-0008-0000-0000-00003C010000}"/>
              </a:ext>
            </a:extLst>
          </xdr:cNvPr>
          <xdr:cNvSpPr/>
        </xdr:nvSpPr>
        <xdr:spPr>
          <a:xfrm>
            <a:off x="9429751" y="4095750"/>
            <a:ext cx="571500" cy="571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22</xdr:col>
      <xdr:colOff>0</xdr:colOff>
      <xdr:row>109</xdr:row>
      <xdr:rowOff>0</xdr:rowOff>
    </xdr:from>
    <xdr:to>
      <xdr:col>66</xdr:col>
      <xdr:colOff>0</xdr:colOff>
      <xdr:row>141</xdr:row>
      <xdr:rowOff>0</xdr:rowOff>
    </xdr:to>
    <xdr:grpSp>
      <xdr:nvGrpSpPr>
        <xdr:cNvPr id="203" name="td_cont#contTOP">
          <a:extLst>
            <a:ext uri="{FF2B5EF4-FFF2-40B4-BE49-F238E27FC236}">
              <a16:creationId xmlns:a16="http://schemas.microsoft.com/office/drawing/2014/main" id="{BCD04E88-8C07-4EAE-9AFC-C52D02588706}"/>
            </a:ext>
          </a:extLst>
        </xdr:cNvPr>
        <xdr:cNvGrpSpPr/>
      </xdr:nvGrpSpPr>
      <xdr:grpSpPr>
        <a:xfrm>
          <a:off x="2095500" y="10382250"/>
          <a:ext cx="4191000" cy="3048000"/>
          <a:chOff x="2095500" y="10382250"/>
          <a:chExt cx="4191000" cy="3048000"/>
        </a:xfrm>
      </xdr:grpSpPr>
      <xdr:grpSp>
        <xdr:nvGrpSpPr>
          <xdr:cNvPr id="443" name="td_bcg#spriteTOP" descr=" не правильно настроен код#" title="td_bcg#sprite">
            <a:extLst>
              <a:ext uri="{FF2B5EF4-FFF2-40B4-BE49-F238E27FC236}">
                <a16:creationId xmlns:a16="http://schemas.microsoft.com/office/drawing/2014/main" id="{00000000-0008-0000-0000-0000BB010000}"/>
              </a:ext>
            </a:extLst>
          </xdr:cNvPr>
          <xdr:cNvGrpSpPr/>
        </xdr:nvGrpSpPr>
        <xdr:grpSpPr>
          <a:xfrm>
            <a:off x="2190750" y="10477499"/>
            <a:ext cx="4000499" cy="2667001"/>
            <a:chOff x="2744107" y="9524999"/>
            <a:chExt cx="3619498" cy="2667001"/>
          </a:xfrm>
        </xdr:grpSpPr>
        <xdr:sp macro="" textlink="">
          <xdr:nvSpPr>
            <xdr:cNvPr id="454" name="object">
              <a:extLst>
                <a:ext uri="{FF2B5EF4-FFF2-40B4-BE49-F238E27FC236}">
                  <a16:creationId xmlns:a16="http://schemas.microsoft.com/office/drawing/2014/main" id="{00000000-0008-0000-0000-0000C6010000}"/>
                </a:ext>
              </a:extLst>
            </xdr:cNvPr>
            <xdr:cNvSpPr/>
          </xdr:nvSpPr>
          <xdr:spPr>
            <a:xfrm>
              <a:off x="2830286" y="9620250"/>
              <a:ext cx="3447141" cy="2476500"/>
            </a:xfrm>
            <a:prstGeom prst="rect">
              <a:avLst/>
            </a:prstGeom>
            <a:solidFill>
              <a:schemeClr val="accent6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600">
                  <a:latin typeface="BIPs" panose="030F0702030302020204" pitchFamily="66" charset="0"/>
                  <a:cs typeface="Times New Roman" panose="02020603050405020304" pitchFamily="18" charset="0"/>
                </a:rPr>
                <a:t>Идет игра...</a:t>
              </a:r>
            </a:p>
          </xdr:txBody>
        </xdr:sp>
        <xdr:sp macro="" textlink="">
          <xdr:nvSpPr>
            <xdr:cNvPr id="455" name="object">
              <a:extLst>
                <a:ext uri="{FF2B5EF4-FFF2-40B4-BE49-F238E27FC236}">
                  <a16:creationId xmlns:a16="http://schemas.microsoft.com/office/drawing/2014/main" id="{00000000-0008-0000-0000-0000C7010000}"/>
                </a:ext>
              </a:extLst>
            </xdr:cNvPr>
            <xdr:cNvSpPr/>
          </xdr:nvSpPr>
          <xdr:spPr>
            <a:xfrm>
              <a:off x="3261179" y="10096500"/>
              <a:ext cx="1120321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456" name="td_bcg#sprite" descr="objects[obj_name].x=$x;&#10;objects[obj_name].y=$y;&#10;objects[obj_name].base_tint=objects[obj_name].tint;&#10;objects[obj_name].interactive=true;##png" title="td_bcg#sprite">
              <a:extLst>
                <a:ext uri="{FF2B5EF4-FFF2-40B4-BE49-F238E27FC236}">
                  <a16:creationId xmlns:a16="http://schemas.microsoft.com/office/drawing/2014/main" id="{00000000-0008-0000-0000-0000C8010000}"/>
                </a:ext>
              </a:extLst>
            </xdr:cNvPr>
            <xdr:cNvSpPr/>
          </xdr:nvSpPr>
          <xdr:spPr>
            <a:xfrm>
              <a:off x="2744107" y="9524999"/>
              <a:ext cx="3619498" cy="266700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57" name="object">
              <a:extLst>
                <a:ext uri="{FF2B5EF4-FFF2-40B4-BE49-F238E27FC236}">
                  <a16:creationId xmlns:a16="http://schemas.microsoft.com/office/drawing/2014/main" id="{00000000-0008-0000-0000-0000C9010000}"/>
                </a:ext>
              </a:extLst>
            </xdr:cNvPr>
            <xdr:cNvSpPr/>
          </xdr:nvSpPr>
          <xdr:spPr>
            <a:xfrm>
              <a:off x="4726214" y="10096500"/>
              <a:ext cx="1120321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444" name="td_name1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td_name1#block">
            <a:extLst>
              <a:ext uri="{FF2B5EF4-FFF2-40B4-BE49-F238E27FC236}">
                <a16:creationId xmlns:a16="http://schemas.microsoft.com/office/drawing/2014/main" id="{00000000-0008-0000-0000-0000BC010000}"/>
              </a:ext>
            </a:extLst>
          </xdr:cNvPr>
          <xdr:cNvSpPr/>
        </xdr:nvSpPr>
        <xdr:spPr>
          <a:xfrm>
            <a:off x="2667000" y="123825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игр1</a:t>
            </a:r>
          </a:p>
        </xdr:txBody>
      </xdr:sp>
      <xdr:sp macro="" textlink="">
        <xdr:nvSpPr>
          <xdr:cNvPr id="445" name="td_rating1#block" descr="objects[obj_name]=new PIXI.BitmapText('', {fontName: 'Century Gothic',fontSize: 32,align: 'center'});&#10;objects[obj_name].anchor.set(0.5,0);&#10;objects[obj_name].x=$x;&#10;objects[obj_name].y=$y;&#10;objects[obj_name].base_tint=objects[obj_name].tint=$col;##png" title="td_rating1#block">
            <a:extLst>
              <a:ext uri="{FF2B5EF4-FFF2-40B4-BE49-F238E27FC236}">
                <a16:creationId xmlns:a16="http://schemas.microsoft.com/office/drawing/2014/main" id="{00000000-0008-0000-0000-0000BD010000}"/>
              </a:ext>
            </a:extLst>
          </xdr:cNvPr>
          <xdr:cNvSpPr/>
        </xdr:nvSpPr>
        <xdr:spPr>
          <a:xfrm>
            <a:off x="2667000" y="1265872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р1</a:t>
            </a:r>
          </a:p>
        </xdr:txBody>
      </xdr:sp>
      <xdr:sp macro="" textlink="">
        <xdr:nvSpPr>
          <xdr:cNvPr id="446" name="td_avatar1#block" descr="objects[obj_name]=new PIXI.Sprite();&#10;objects[obj_name].sx=objects[obj_name].x=$x;&#10;objects[obj_name].sy=objects[obj_name].y=$y;&#10;objects[obj_name].width=$w;&#10;objects[obj_name].height=$h;&#10;#&#10;&#10;" title="td_avatar1#block">
            <a:extLst>
              <a:ext uri="{FF2B5EF4-FFF2-40B4-BE49-F238E27FC236}">
                <a16:creationId xmlns:a16="http://schemas.microsoft.com/office/drawing/2014/main" id="{00000000-0008-0000-0000-0000BE010000}"/>
              </a:ext>
            </a:extLst>
          </xdr:cNvPr>
          <xdr:cNvSpPr/>
        </xdr:nvSpPr>
        <xdr:spPr>
          <a:xfrm>
            <a:off x="2762250" y="110490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avatar1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47" name="td_cont#cont" descr="objects[obj_name]=new PIXI.Container();&#10;objects[obj_name].visible=false;&#10;objects[obj_name].x=objects[obj_name].sx=$x;&#10;objects[obj_name].y=objects[obj_name].sy=$y;&#10;&#10;#objects[obj_name].addChild(objects.td_bcg);&#10;objects[obj_name].addChild(objects.td_avatar1);&#10;objects[obj_name].addChild(objects.td_avatar2);&#10;objects[obj_name].addChild(objects.td_name1);&#10;objects[obj_name].addChild(objects.td_name2);&#10;objects[obj_name].addChild(objects.td_rating1);&#10;objects[obj_name].addChild(objects.td_rating2);&#10;objects[obj_name].addChild(objects.td_close);&#10;app.stage.addChild(objects[obj_name]);#png" title="td_cont#cont">
            <a:extLst>
              <a:ext uri="{FF2B5EF4-FFF2-40B4-BE49-F238E27FC236}">
                <a16:creationId xmlns:a16="http://schemas.microsoft.com/office/drawing/2014/main" id="{00000000-0008-0000-0000-0000BF010000}"/>
              </a:ext>
            </a:extLst>
          </xdr:cNvPr>
          <xdr:cNvSpPr/>
        </xdr:nvSpPr>
        <xdr:spPr>
          <a:xfrm>
            <a:off x="2095500" y="10382250"/>
            <a:ext cx="4191000" cy="3048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49" name="td_close#spriteTOP" title="td_close#sprite">
            <a:extLst>
              <a:ext uri="{FF2B5EF4-FFF2-40B4-BE49-F238E27FC236}">
                <a16:creationId xmlns:a16="http://schemas.microsoft.com/office/drawing/2014/main" id="{00000000-0008-0000-0000-0000C1010000}"/>
              </a:ext>
            </a:extLst>
          </xdr:cNvPr>
          <xdr:cNvGrpSpPr/>
        </xdr:nvGrpSpPr>
        <xdr:grpSpPr>
          <a:xfrm>
            <a:off x="5619750" y="10572750"/>
            <a:ext cx="476250" cy="476250"/>
            <a:chOff x="10639425" y="5229225"/>
            <a:chExt cx="476250" cy="476250"/>
          </a:xfrm>
        </xdr:grpSpPr>
        <xdr:sp macro="" textlink="">
          <xdr:nvSpPr>
            <xdr:cNvPr id="450" name="td_close#sprite" descr="objects[obj_name].x=$x;&#10;objects[obj_name].y=$y;&#10;objects[obj_name].interactive=true;&#10;objects[obj_name].buttonMode=true;&#10;objects[obj_name].pointerdown=function(){cards_menu.close_table_dialog()};&#10;objects[obj_name].base_tint=objects[obj_name].tint;##png" title="td_close#sprite">
              <a:extLst>
                <a:ext uri="{FF2B5EF4-FFF2-40B4-BE49-F238E27FC236}">
                  <a16:creationId xmlns:a16="http://schemas.microsoft.com/office/drawing/2014/main" id="{00000000-0008-0000-0000-0000C2010000}"/>
                </a:ext>
              </a:extLst>
            </xdr:cNvPr>
            <xdr:cNvSpPr/>
          </xdr:nvSpPr>
          <xdr:spPr>
            <a:xfrm>
              <a:off x="1063942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51" name="object">
              <a:extLst>
                <a:ext uri="{FF2B5EF4-FFF2-40B4-BE49-F238E27FC236}">
                  <a16:creationId xmlns:a16="http://schemas.microsoft.com/office/drawing/2014/main" id="{00000000-0008-0000-0000-0000C3010000}"/>
                </a:ext>
              </a:extLst>
            </xdr:cNvPr>
            <xdr:cNvSpPr/>
          </xdr:nvSpPr>
          <xdr:spPr>
            <a:xfrm>
              <a:off x="1067514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460" name="td_name2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td_name2#block">
            <a:extLst>
              <a:ext uri="{FF2B5EF4-FFF2-40B4-BE49-F238E27FC236}">
                <a16:creationId xmlns:a16="http://schemas.microsoft.com/office/drawing/2014/main" id="{00000000-0008-0000-0000-0000CC010000}"/>
              </a:ext>
            </a:extLst>
          </xdr:cNvPr>
          <xdr:cNvSpPr/>
        </xdr:nvSpPr>
        <xdr:spPr>
          <a:xfrm>
            <a:off x="4286250" y="12392025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игр2</a:t>
            </a:r>
          </a:p>
        </xdr:txBody>
      </xdr:sp>
      <xdr:sp macro="" textlink="">
        <xdr:nvSpPr>
          <xdr:cNvPr id="461" name="td_rating2#block" descr="objects[obj_name]=new PIXI.BitmapText('', {fontName: 'Century Gothic',fontSize: 32,align: 'center'});&#10;objects[obj_name].anchor.set(0.5,0);&#10;objects[obj_name].x=$x;&#10;objects[obj_name].y=$y;&#10;objects[obj_name].base_tint=objects[obj_name].tint=$col;##png" title="td_rating2#block">
            <a:extLst>
              <a:ext uri="{FF2B5EF4-FFF2-40B4-BE49-F238E27FC236}">
                <a16:creationId xmlns:a16="http://schemas.microsoft.com/office/drawing/2014/main" id="{00000000-0008-0000-0000-0000CD010000}"/>
              </a:ext>
            </a:extLst>
          </xdr:cNvPr>
          <xdr:cNvSpPr/>
        </xdr:nvSpPr>
        <xdr:spPr>
          <a:xfrm>
            <a:off x="4286250" y="12668250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р2</a:t>
            </a:r>
          </a:p>
        </xdr:txBody>
      </xdr:sp>
      <xdr:sp macro="" textlink="">
        <xdr:nvSpPr>
          <xdr:cNvPr id="462" name="td_avatar2#block" descr="objects[obj_name]=new PIXI.Sprite();&#10;objects[obj_name].sx=objects[obj_name].x=$x;&#10;objects[obj_name].sy=objects[obj_name].y=$y;&#10;objects[obj_name].width=$w;&#10;objects[obj_name].height=$h;&#10;#&#10;&#10;" title="td_avatar2#block">
            <a:extLst>
              <a:ext uri="{FF2B5EF4-FFF2-40B4-BE49-F238E27FC236}">
                <a16:creationId xmlns:a16="http://schemas.microsoft.com/office/drawing/2014/main" id="{00000000-0008-0000-0000-0000CE010000}"/>
              </a:ext>
            </a:extLst>
          </xdr:cNvPr>
          <xdr:cNvSpPr/>
        </xdr:nvSpPr>
        <xdr:spPr>
          <a:xfrm>
            <a:off x="4381500" y="110490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avatar2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112</xdr:col>
      <xdr:colOff>0</xdr:colOff>
      <xdr:row>180</xdr:row>
      <xdr:rowOff>0</xdr:rowOff>
    </xdr:from>
    <xdr:to>
      <xdr:col>132</xdr:col>
      <xdr:colOff>0</xdr:colOff>
      <xdr:row>190</xdr:row>
      <xdr:rowOff>0</xdr:rowOff>
    </xdr:to>
    <xdr:grpSp>
      <xdr:nvGrpSpPr>
        <xdr:cNvPr id="953" name="rating_bcg#imageTOP" title="rating_bcg#image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GrpSpPr/>
      </xdr:nvGrpSpPr>
      <xdr:grpSpPr>
        <a:xfrm>
          <a:off x="10668000" y="17145000"/>
          <a:ext cx="1905000" cy="952500"/>
          <a:chOff x="8667750" y="18573750"/>
          <a:chExt cx="1905000" cy="952500"/>
        </a:xfrm>
      </xdr:grpSpPr>
      <xdr:sp macro="" textlink="">
        <xdr:nvSpPr>
          <xdr:cNvPr id="787" name="rating_bcg#image" descr="Кода нет, это картинка#Кода нет, это картинка#png" title="rating_bcg#image">
            <a:extLst>
              <a:ext uri="{FF2B5EF4-FFF2-40B4-BE49-F238E27FC236}">
                <a16:creationId xmlns:a16="http://schemas.microsoft.com/office/drawing/2014/main" id="{00000000-0008-0000-0000-000013030000}"/>
              </a:ext>
            </a:extLst>
          </xdr:cNvPr>
          <xdr:cNvSpPr/>
        </xdr:nvSpPr>
        <xdr:spPr>
          <a:xfrm>
            <a:off x="8667750" y="185737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52" name="object">
            <a:extLst>
              <a:ext uri="{FF2B5EF4-FFF2-40B4-BE49-F238E27FC236}">
                <a16:creationId xmlns:a16="http://schemas.microsoft.com/office/drawing/2014/main" id="{00000000-0008-0000-0000-0000B8030000}"/>
              </a:ext>
            </a:extLst>
          </xdr:cNvPr>
          <xdr:cNvSpPr/>
        </xdr:nvSpPr>
        <xdr:spPr>
          <a:xfrm>
            <a:off x="8938460" y="19254537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985" name="object">
            <a:extLst>
              <a:ext uri="{FF2B5EF4-FFF2-40B4-BE49-F238E27FC236}">
                <a16:creationId xmlns:a16="http://schemas.microsoft.com/office/drawing/2014/main" id="{00000000-0008-0000-0000-0000D9030000}"/>
              </a:ext>
            </a:extLst>
          </xdr:cNvPr>
          <xdr:cNvSpPr/>
        </xdr:nvSpPr>
        <xdr:spPr>
          <a:xfrm>
            <a:off x="9873916" y="19249524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>
    <xdr:from>
      <xdr:col>65</xdr:col>
      <xdr:colOff>0</xdr:colOff>
      <xdr:row>77</xdr:row>
      <xdr:rowOff>0</xdr:rowOff>
    </xdr:from>
    <xdr:to>
      <xdr:col>84</xdr:col>
      <xdr:colOff>0</xdr:colOff>
      <xdr:row>98</xdr:row>
      <xdr:rowOff>0</xdr:rowOff>
    </xdr:to>
    <xdr:grpSp>
      <xdr:nvGrpSpPr>
        <xdr:cNvPr id="210" name="game_buttons_cont#contTOP">
          <a:extLst>
            <a:ext uri="{FF2B5EF4-FFF2-40B4-BE49-F238E27FC236}">
              <a16:creationId xmlns:a16="http://schemas.microsoft.com/office/drawing/2014/main" id="{8AECA251-1537-4446-B436-DB75394B9964}"/>
            </a:ext>
          </a:extLst>
        </xdr:cNvPr>
        <xdr:cNvGrpSpPr/>
      </xdr:nvGrpSpPr>
      <xdr:grpSpPr>
        <a:xfrm>
          <a:off x="6191250" y="7334250"/>
          <a:ext cx="1809750" cy="2000250"/>
          <a:chOff x="6191250" y="7334250"/>
          <a:chExt cx="1809750" cy="2000250"/>
        </a:xfrm>
      </xdr:grpSpPr>
      <xdr:grpSp>
        <xdr:nvGrpSpPr>
          <xdr:cNvPr id="46" name="send_sticker_button#spriteTOP" title="send_sticker_button#sprite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GrpSpPr/>
        </xdr:nvGrpSpPr>
        <xdr:grpSpPr>
          <a:xfrm>
            <a:off x="6286500" y="8572500"/>
            <a:ext cx="1619250" cy="666750"/>
            <a:chOff x="8286750" y="8382000"/>
            <a:chExt cx="1619250" cy="666750"/>
          </a:xfrm>
        </xdr:grpSpPr>
        <xdr:sp macro="" textlink="">
          <xdr:nvSpPr>
            <xdr:cNvPr id="30" name="object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8382000" y="8477250"/>
              <a:ext cx="1428750" cy="476250"/>
            </a:xfrm>
            <a:prstGeom prst="rect">
              <a:avLst/>
            </a:prstGeom>
            <a:solidFill>
              <a:srgbClr val="5C5858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ru-RU" sz="240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Стикеры</a:t>
              </a:r>
            </a:p>
          </xdr:txBody>
        </xdr:sp>
        <xdr:sp macro="" textlink="">
          <xdr:nvSpPr>
            <xdr:cNvPr id="45" name="send_sticker_button#sprite" descr="objects[obj_name].buttonMode=true;&#10;objects[obj_name].interactive=true;&#10;objects[obj_name].x=$x;&#10;objects[obj_name].y=$y;&#10;objects[obj_name].base_tint=objects[obj_name].tint;&#10;app.stage.addChild(objects[obj_name]);&#10;#objects[obj_name].pointerdown=function(){stickers.show_panel()};&#10;objects[obj_name].pointerover=function(){this.tint=0x66ffff};&#10;objects[obj_name].pointerout=function(){this.tint=this.base_tint};#png" title="send_sticker_button#sprite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/>
          </xdr:nvSpPr>
          <xdr:spPr>
            <a:xfrm>
              <a:off x="8286750" y="8382000"/>
              <a:ext cx="161925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8" name="giveup_button#spriteTOP" title="giveup_button#sprite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6286500" y="8001000"/>
            <a:ext cx="1619250" cy="666750"/>
            <a:chOff x="6286500" y="8572500"/>
            <a:chExt cx="1619250" cy="666750"/>
          </a:xfrm>
        </xdr:grpSpPr>
        <xdr:sp macro="" textlink="">
          <xdr:nvSpPr>
            <xdr:cNvPr id="29" name="object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6381750" y="8667750"/>
              <a:ext cx="1428750" cy="476250"/>
            </a:xfrm>
            <a:prstGeom prst="rect">
              <a:avLst/>
            </a:prstGeom>
            <a:solidFill>
              <a:srgbClr val="5C5858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ru-RU" sz="240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Сдаться</a:t>
              </a:r>
            </a:p>
          </xdr:txBody>
        </xdr:sp>
        <xdr:sp macro="" textlink="">
          <xdr:nvSpPr>
            <xdr:cNvPr id="47" name="giveup_button#sprite" descr="objects[obj_name].buttonMode=true;&#10;objects[obj_name].interactive=true;&#10;objects[obj_name].pointerdown=function(){mini_dialog.show('giveup')};&#10;objects[obj_name].x=$x;&#10;objects[obj_name].y=$y;&#10;objects[obj_name].base_tint=objects[obj_name].tint;&#10;app.stage.addChild(objects[obj_name]);#objects[obj_name].pointerover=function(){this.tint=0x66ffff};&#10;objects[obj_name].pointerout=function(){this.tint=this.base_tint};#png" title="giveup_button#sprite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6286500" y="8572500"/>
              <a:ext cx="161925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9" name="game_buttons_cont#cont" descr="objects[obj_name]=new PIXI.Container();&#10;objects[obj_name].ready=true;&#10;objects[obj_name].visible=false;&#10;objects[obj_name].sx=objects[obj_name].x=610;&#10;objects[obj_name].sy=objects[obj_name].y=240;&#10;objects[obj_name].show=function(){this.children.forEach(c=&gt;{c.alpha=1;c.tint=c.base_tint})};#objects[obj_name].addChild(objects.send_sticker_button);&#10;objects[obj_name].addChild(objects.giveup_button);&#10;objects[obj_name].addChild(objects.draw_button);&#10;app.stage.addChild(objects[obj_name]);&#10;&#10;" title="game_buttons_cont#cont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6191250" y="7334250"/>
            <a:ext cx="1809750" cy="2000250"/>
          </a:xfrm>
          <a:prstGeom prst="rect">
            <a:avLst/>
          </a:prstGeom>
          <a:noFill/>
          <a:ln w="12700" cap="flat" cmpd="sng" algn="ctr">
            <a:solidFill>
              <a:srgbClr val="C00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26" name="draw_button#spriteTOP" title="draw_button#sprite">
            <a:extLst>
              <a:ext uri="{FF2B5EF4-FFF2-40B4-BE49-F238E27FC236}">
                <a16:creationId xmlns:a16="http://schemas.microsoft.com/office/drawing/2014/main" id="{A40720DB-7789-4243-820B-818C5DB70D41}"/>
              </a:ext>
            </a:extLst>
          </xdr:cNvPr>
          <xdr:cNvGrpSpPr/>
        </xdr:nvGrpSpPr>
        <xdr:grpSpPr>
          <a:xfrm>
            <a:off x="6286500" y="7429500"/>
            <a:ext cx="1619250" cy="666750"/>
            <a:chOff x="8286750" y="8382000"/>
            <a:chExt cx="1619250" cy="666750"/>
          </a:xfrm>
        </xdr:grpSpPr>
        <xdr:sp macro="" textlink="">
          <xdr:nvSpPr>
            <xdr:cNvPr id="328" name="object">
              <a:extLst>
                <a:ext uri="{FF2B5EF4-FFF2-40B4-BE49-F238E27FC236}">
                  <a16:creationId xmlns:a16="http://schemas.microsoft.com/office/drawing/2014/main" id="{C10FED6D-145E-4CB6-A674-5376B5B97CBD}"/>
                </a:ext>
              </a:extLst>
            </xdr:cNvPr>
            <xdr:cNvSpPr/>
          </xdr:nvSpPr>
          <xdr:spPr>
            <a:xfrm>
              <a:off x="8382000" y="8477250"/>
              <a:ext cx="1428750" cy="476250"/>
            </a:xfrm>
            <a:prstGeom prst="rect">
              <a:avLst/>
            </a:prstGeom>
            <a:solidFill>
              <a:srgbClr val="5C5858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ru-RU" sz="240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Ничья</a:t>
              </a:r>
            </a:p>
          </xdr:txBody>
        </xdr:sp>
        <xdr:sp macro="" textlink="">
          <xdr:nvSpPr>
            <xdr:cNvPr id="334" name="draw_button#sprite" descr="objects[obj_name].buttonMode=true;&#10;objects[obj_name].interactive=true;&#10;objects[obj_name].x=$x;&#10;objects[obj_name].y=$y;&#10;objects[obj_name].base_tint=objects[obj_name].tint;&#10;app.stage.addChild(objects[obj_name]);&#10;#objects[obj_name].pointerdown=function(){mini_dialog.show('draw')};&#10;objects[obj_name].pointerover=function(){this.tint=0x66ffff};&#10;objects[obj_name].pointerout=function(){this.tint=this.base_tint};#png" title="draw_button#sprite">
              <a:extLst>
                <a:ext uri="{FF2B5EF4-FFF2-40B4-BE49-F238E27FC236}">
                  <a16:creationId xmlns:a16="http://schemas.microsoft.com/office/drawing/2014/main" id="{2F993184-F87B-4E57-89D6-7E1B161DF141}"/>
                </a:ext>
              </a:extLst>
            </xdr:cNvPr>
            <xdr:cNvSpPr/>
          </xdr:nvSpPr>
          <xdr:spPr>
            <a:xfrm>
              <a:off x="8286750" y="8382000"/>
              <a:ext cx="161925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3</xdr:col>
      <xdr:colOff>0</xdr:colOff>
      <xdr:row>52</xdr:row>
      <xdr:rowOff>0</xdr:rowOff>
    </xdr:from>
    <xdr:to>
      <xdr:col>25</xdr:col>
      <xdr:colOff>0</xdr:colOff>
      <xdr:row>77</xdr:row>
      <xdr:rowOff>0</xdr:rowOff>
    </xdr:to>
    <xdr:grpSp>
      <xdr:nvGrpSpPr>
        <xdr:cNvPr id="211" name="my_card_cont#contTOP">
          <a:extLst>
            <a:ext uri="{FF2B5EF4-FFF2-40B4-BE49-F238E27FC236}">
              <a16:creationId xmlns:a16="http://schemas.microsoft.com/office/drawing/2014/main" id="{FFAC570C-D576-4FEF-B935-FEC3B67107F7}"/>
            </a:ext>
          </a:extLst>
        </xdr:cNvPr>
        <xdr:cNvGrpSpPr/>
      </xdr:nvGrpSpPr>
      <xdr:grpSpPr>
        <a:xfrm>
          <a:off x="285750" y="4953000"/>
          <a:ext cx="2095500" cy="2381250"/>
          <a:chOff x="285750" y="4953000"/>
          <a:chExt cx="2095500" cy="2381250"/>
        </a:xfrm>
      </xdr:grpSpPr>
      <xdr:sp macro="" textlink="">
        <xdr:nvSpPr>
          <xdr:cNvPr id="507" name="my_card_bcg#block" descr="objects[obj_name] = new PIXI.Sprite();&#10;objects[obj_name].x=$x;&#10;objects[obj_name].y=$y;&#10;objects[obj_name].base_tint=objects[obj_name].tint;#objects[obj_name].texture = gres.card_bcg.texture;" title="my_card_bcg#block">
            <a:extLst>
              <a:ext uri="{FF2B5EF4-FFF2-40B4-BE49-F238E27FC236}">
                <a16:creationId xmlns:a16="http://schemas.microsoft.com/office/drawing/2014/main" id="{059379E2-E259-4981-BE00-75BA48A62AAD}"/>
              </a:ext>
            </a:extLst>
          </xdr:cNvPr>
          <xdr:cNvSpPr/>
        </xdr:nvSpPr>
        <xdr:spPr>
          <a:xfrm>
            <a:off x="381000" y="5048250"/>
            <a:ext cx="1905000" cy="2190750"/>
          </a:xfrm>
          <a:prstGeom prst="rect">
            <a:avLst/>
          </a:prstGeom>
          <a:blipFill>
            <a:blip xmlns:r="http://schemas.openxmlformats.org/officeDocument/2006/relationships" r:embed="rId12"/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0" name="my_card_name#block" descr="objects[obj_name]=new PIXI.BitmapText('', {fontName: 'Century Gothic',fontSize: 23,align: 'center'});&#10;objects[obj_name].anchor.set(0.5,0);&#10;objects[obj_name].x=$x;&#10;objects[obj_name].y=$y;&#10;objects[obj_name].base_tint=objects[obj_name].tint=$col;##png" title="my_card_name#block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666749" y="6172200"/>
            <a:ext cx="1333501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71" name="my_card_rating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my_card_rating#block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666750" y="6381750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73" name="my_card_avatar#block" descr="objects[obj_name]=new PIXI.Sprite();&#10;objects[obj_name].sx=objects[obj_name].x=$x;&#10;objects[obj_name].sy=objects[obj_name].y=$y;&#10;objects[obj_name].width=$w;&#10;objects[obj_name].height=$h;&#10;#&#10;&#10;" title="my_card_avatar#block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857249" y="5248275"/>
            <a:ext cx="952501" cy="857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мои аватар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75" name="my_card_cont#cont" descr="objects[obj_name]=new PIXI.Container();&#10;objects[obj_name].visible=false;&#10;objects[obj_name].x=objects[obj_name].sx=$x;&#10;objects[obj_name].y=objects[obj_name].sy=$y;&#10;&#10;#objects[obj_name].addChild(objects.my_card_bcg);&#10;objects[obj_name].addChild(objects.my_card_name);&#10;objects[obj_name].addChild(objects.my_card_rating);&#10;objects[obj_name].addChild(objects.my_card_avatar);&#10;objects[obj_name].addChild(objects.my_pn);&#10;objects[obj_name].addChild(objects.my_rn);&#10;objects[obj_name].addChild(objects.my_nn);&#10;objects[obj_name].addChild(objects.my_bn);&#10;objects[obj_name].addChild(objects.my_qn);&#10;app.stage.addChild(objects[obj_name]);#png" title="my_card_cont#cont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285750" y="4953000"/>
            <a:ext cx="2095500" cy="2381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054" name="my_p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48A810C1-49B8-4474-A03E-7101D806527D}"/>
              </a:ext>
            </a:extLst>
          </xdr:cNvPr>
          <xdr:cNvSpPr/>
        </xdr:nvSpPr>
        <xdr:spPr>
          <a:xfrm>
            <a:off x="619125" y="6772275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250" name="my_r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rn#block">
            <a:extLst>
              <a:ext uri="{FF2B5EF4-FFF2-40B4-BE49-F238E27FC236}">
                <a16:creationId xmlns:a16="http://schemas.microsoft.com/office/drawing/2014/main" id="{192A0CD5-871A-420B-9308-CC4280232CAF}"/>
              </a:ext>
            </a:extLst>
          </xdr:cNvPr>
          <xdr:cNvSpPr/>
        </xdr:nvSpPr>
        <xdr:spPr>
          <a:xfrm>
            <a:off x="962025" y="6772275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251" name="my_n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nn#block">
            <a:extLst>
              <a:ext uri="{FF2B5EF4-FFF2-40B4-BE49-F238E27FC236}">
                <a16:creationId xmlns:a16="http://schemas.microsoft.com/office/drawing/2014/main" id="{A8F1FFD6-F3DE-413F-9C03-B606AEBC62B3}"/>
              </a:ext>
            </a:extLst>
          </xdr:cNvPr>
          <xdr:cNvSpPr/>
        </xdr:nvSpPr>
        <xdr:spPr>
          <a:xfrm>
            <a:off x="1304925" y="6772275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252" name="my_b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bn#block">
            <a:extLst>
              <a:ext uri="{FF2B5EF4-FFF2-40B4-BE49-F238E27FC236}">
                <a16:creationId xmlns:a16="http://schemas.microsoft.com/office/drawing/2014/main" id="{0FACE809-5436-41A2-929D-6B9BF67644C8}"/>
              </a:ext>
            </a:extLst>
          </xdr:cNvPr>
          <xdr:cNvSpPr/>
        </xdr:nvSpPr>
        <xdr:spPr>
          <a:xfrm>
            <a:off x="1647825" y="6772275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253" name="my_q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qn#block">
            <a:extLst>
              <a:ext uri="{FF2B5EF4-FFF2-40B4-BE49-F238E27FC236}">
                <a16:creationId xmlns:a16="http://schemas.microsoft.com/office/drawing/2014/main" id="{F09BA6CA-EBC6-4F53-8F96-6DBFB681610F}"/>
              </a:ext>
            </a:extLst>
          </xdr:cNvPr>
          <xdr:cNvSpPr/>
        </xdr:nvSpPr>
        <xdr:spPr>
          <a:xfrm>
            <a:off x="1990725" y="6762750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30</xdr:col>
      <xdr:colOff>47625</xdr:colOff>
      <xdr:row>108</xdr:row>
      <xdr:rowOff>0</xdr:rowOff>
    </xdr:from>
    <xdr:to>
      <xdr:col>58</xdr:col>
      <xdr:colOff>47625</xdr:colOff>
      <xdr:row>144</xdr:row>
      <xdr:rowOff>0</xdr:rowOff>
    </xdr:to>
    <xdr:grpSp>
      <xdr:nvGrpSpPr>
        <xdr:cNvPr id="215" name="invite_cont#contTOP">
          <a:extLst>
            <a:ext uri="{FF2B5EF4-FFF2-40B4-BE49-F238E27FC236}">
              <a16:creationId xmlns:a16="http://schemas.microsoft.com/office/drawing/2014/main" id="{9E8FF921-FC9E-4101-98EE-672AD4D80790}"/>
            </a:ext>
          </a:extLst>
        </xdr:cNvPr>
        <xdr:cNvGrpSpPr/>
      </xdr:nvGrpSpPr>
      <xdr:grpSpPr>
        <a:xfrm>
          <a:off x="2905125" y="10287000"/>
          <a:ext cx="2667000" cy="3429000"/>
          <a:chOff x="2905125" y="10287000"/>
          <a:chExt cx="2667000" cy="3429000"/>
        </a:xfrm>
      </xdr:grpSpPr>
      <xdr:grpSp>
        <xdr:nvGrpSpPr>
          <xdr:cNvPr id="87" name="invite_bcg#spriteTOP" title="invite_bcg#sprite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GrpSpPr/>
        </xdr:nvGrpSpPr>
        <xdr:grpSpPr>
          <a:xfrm>
            <a:off x="3000376" y="10382251"/>
            <a:ext cx="2476500" cy="3047999"/>
            <a:chOff x="2744108" y="9810751"/>
            <a:chExt cx="2240642" cy="3047999"/>
          </a:xfrm>
        </xdr:grpSpPr>
        <xdr:sp macro="" textlink="">
          <xdr:nvSpPr>
            <xdr:cNvPr id="92" name="object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2830286" y="9906000"/>
              <a:ext cx="2068285" cy="285750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93" name="object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3261179" y="10096500"/>
              <a:ext cx="1120321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94" name="invite_bcg#sprite" descr="objects[obj_name].x=$x;&#10;objects[obj_name].y=$y;&#10;objects[obj_name].base_tint=objects[obj_name].tint;##png" title="invite_bcg#sprite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2744108" y="9810751"/>
              <a:ext cx="2240642" cy="3047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88" name="invite_name#block" descr="objects[obj_name]=new PIXI.BitmapText('', {fontName: 'Century Gothic',fontSize: 32,align: 'center'});&#10;objects[obj_name].anchor.set(0.5,0);&#10;objects[obj_name].x=$x;&#10;objects[obj_name].y=$y;&#10;objects[obj_name].base_tint=objects[obj_name].tint=$col;##png" title="invite_name#block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3476625" y="120396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89" name="invite_rating#block" descr="objects[obj_name]=new PIXI.BitmapText('', {fontName: 'Century Gothic',fontSize: 32,align: 'center'});&#10;objects[obj_name].anchor.set(0.5,0);&#10;objects[obj_name].x=$x;&#10;objects[obj_name].y=$y;&#10;objects[obj_name].base_tint=objects[obj_name].tint=$col;##png" title="invite_rating#block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/>
        </xdr:nvSpPr>
        <xdr:spPr>
          <a:xfrm>
            <a:off x="3476625" y="1231582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0" name="invite_avatar#block" descr="objects[obj_name]=new PIXI.Sprite();&#10;objects[obj_name].sx=objects[obj_name].x=$x;&#10;objects[obj_name].sy=objects[obj_name].y=$y;&#10;objects[obj_name].width=$w;&#10;objects[obj_name].height=$h;&#10;#&#10;&#10;" title="invite_avatar#block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/>
        </xdr:nvSpPr>
        <xdr:spPr>
          <a:xfrm>
            <a:off x="3571875" y="106680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1" name="invite_cont#cont" descr="objects[obj_name]=new PIXI.Container();&#10;objects[obj_name].visible=false;&#10;objects[obj_name].x=objects[obj_name].sx=$x;&#10;objects[obj_name].y=objects[obj_name].sy=$y;&#10;&#10;#objects[obj_name].addChild(objects.invite_bcg);&#10;objects[obj_name].addChild(objects.invite_avatar);&#10;objects[obj_name].addChild(objects.invite_name);&#10;objects[obj_name].addChild(objects.invite_rating);&#10;objects[obj_name].addChild(objects.invite_button);&#10;objects[obj_name].addChild(objects.invite_close);&#10;app.stage.addChild(objects[obj_name]);#png" title="invite_cont#cont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/>
        </xdr:nvSpPr>
        <xdr:spPr>
          <a:xfrm>
            <a:off x="2905125" y="10287000"/>
            <a:ext cx="2667000" cy="3429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7" name="invite_button#spriteTOP" title="invite_button#sprite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GrpSpPr/>
        </xdr:nvGrpSpPr>
        <xdr:grpSpPr>
          <a:xfrm>
            <a:off x="3095625" y="12573001"/>
            <a:ext cx="2286000" cy="762000"/>
            <a:chOff x="8667750" y="10668002"/>
            <a:chExt cx="2286000" cy="762000"/>
          </a:xfrm>
        </xdr:grpSpPr>
        <xdr:sp macro="" textlink="">
          <xdr:nvSpPr>
            <xdr:cNvPr id="95" name="object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/>
          </xdr:nvSpPr>
          <xdr:spPr>
            <a:xfrm>
              <a:off x="8763000" y="10763251"/>
              <a:ext cx="2095500" cy="571500"/>
            </a:xfrm>
            <a:prstGeom prst="rect">
              <a:avLst/>
            </a:prstGeom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Пригласить</a:t>
              </a:r>
            </a:p>
          </xdr:txBody>
        </xdr:sp>
        <xdr:sp macro="" textlink="">
          <xdr:nvSpPr>
            <xdr:cNvPr id="96" name="invite_button#sprite" descr="objects[obj_name].x=$x;&#10;objects[obj_name].y=$y;&#10;objects[obj_name].interactive=true;&#10;objects[obj_name].buttonMode=true;&#10;objects[obj_name].pointerdown=function(){cards_menu.send_invite()};&#10;objects[obj_name].pointerover=function(){this.tint=0x444444};&#10;objects[obj_name].pointerout=function(){this.tint=this.base_tint};&#10;objects[obj_name].base_tint=objects[obj_name].tint;##png" title="invite_button#sprite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8667750" y="10668002"/>
              <a:ext cx="2286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907" name="invite_close#spriteTOP" title="invite_close#sprite">
            <a:extLst>
              <a:ext uri="{FF2B5EF4-FFF2-40B4-BE49-F238E27FC236}">
                <a16:creationId xmlns:a16="http://schemas.microsoft.com/office/drawing/2014/main" id="{00000000-0008-0000-0000-00008B030000}"/>
              </a:ext>
            </a:extLst>
          </xdr:cNvPr>
          <xdr:cNvGrpSpPr/>
        </xdr:nvGrpSpPr>
        <xdr:grpSpPr>
          <a:xfrm>
            <a:off x="4870847" y="10503693"/>
            <a:ext cx="476250" cy="476250"/>
            <a:chOff x="10639425" y="5229225"/>
            <a:chExt cx="476250" cy="476250"/>
          </a:xfrm>
        </xdr:grpSpPr>
        <xdr:sp macro="" textlink="">
          <xdr:nvSpPr>
            <xdr:cNvPr id="904" name="invite_close#sprite" descr="objects[obj_name].x=$x;&#10;objects[obj_name].y=$y;&#10;objects[obj_name].interactive=true;&#10;objects[obj_name].buttonMode=true;&#10;objects[obj_name].pointerdown=function(){cards_menu.hide_invite_dialog()};&#10;objects[obj_name].base_tint=objects[obj_name].tint;##png" title="invite_close#sprite">
              <a:extLst>
                <a:ext uri="{FF2B5EF4-FFF2-40B4-BE49-F238E27FC236}">
                  <a16:creationId xmlns:a16="http://schemas.microsoft.com/office/drawing/2014/main" id="{00000000-0008-0000-0000-000088030000}"/>
                </a:ext>
              </a:extLst>
            </xdr:cNvPr>
            <xdr:cNvSpPr/>
          </xdr:nvSpPr>
          <xdr:spPr>
            <a:xfrm>
              <a:off x="1063942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906" name="object">
              <a:extLst>
                <a:ext uri="{FF2B5EF4-FFF2-40B4-BE49-F238E27FC236}">
                  <a16:creationId xmlns:a16="http://schemas.microsoft.com/office/drawing/2014/main" id="{00000000-0008-0000-0000-00008A030000}"/>
                </a:ext>
              </a:extLst>
            </xdr:cNvPr>
            <xdr:cNvSpPr/>
          </xdr:nvSpPr>
          <xdr:spPr>
            <a:xfrm>
              <a:off x="1067514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65</xdr:col>
      <xdr:colOff>0</xdr:colOff>
      <xdr:row>108</xdr:row>
      <xdr:rowOff>0</xdr:rowOff>
    </xdr:from>
    <xdr:to>
      <xdr:col>81</xdr:col>
      <xdr:colOff>0</xdr:colOff>
      <xdr:row>118</xdr:row>
      <xdr:rowOff>0</xdr:rowOff>
    </xdr:to>
    <xdr:sp macro="" textlink="">
      <xdr:nvSpPr>
        <xdr:cNvPr id="252" name="cards_cont#block" descr="objects[obj_name]=new PIXI.Container();&#10;objects[obj_name].visible=false;&#10;objects[obj_name].x=10;&#10;objects[obj_name].y=40;&#10;#for (let i=0;i&lt;objects.mini_cards.length;i++)&#10;objects[obj_name].addChild(objects.mini_cards[i]);&#10;app.stage.addChild(objects[obj_name]);#png" title="cards_cont#block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>
          <a:off x="6191250" y="10287000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0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карточек игроков</a:t>
          </a:r>
        </a:p>
      </xdr:txBody>
    </xdr:sp>
    <xdr:clientData/>
  </xdr:twoCellAnchor>
  <xdr:twoCellAnchor>
    <xdr:from>
      <xdr:col>66</xdr:col>
      <xdr:colOff>0</xdr:colOff>
      <xdr:row>108</xdr:row>
      <xdr:rowOff>47625</xdr:rowOff>
    </xdr:from>
    <xdr:to>
      <xdr:col>80</xdr:col>
      <xdr:colOff>0</xdr:colOff>
      <xdr:row>112</xdr:row>
      <xdr:rowOff>0</xdr:rowOff>
    </xdr:to>
    <xdr:sp macro="" textlink="">
      <xdr:nvSpPr>
        <xdr:cNvPr id="161" name="mini_cards#array#15" descr="var num=n;&#10;objects[obj_name][num]=new player_mini_card_class(0,0,num);&#10;##png" title="mini_cards#array#15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>
          <a:off x="6286500" y="10334625"/>
          <a:ext cx="1333500" cy="3333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tx1"/>
              </a:solidFill>
              <a:latin typeface="Century Gothic" panose="020B0502020202020204" pitchFamily="34" charset="0"/>
            </a:rPr>
            <a:t>Карточки игроков</a:t>
          </a:r>
        </a:p>
      </xdr:txBody>
    </xdr:sp>
    <xdr:clientData/>
  </xdr:twoCellAnchor>
  <xdr:twoCellAnchor>
    <xdr:from>
      <xdr:col>29</xdr:col>
      <xdr:colOff>0</xdr:colOff>
      <xdr:row>81</xdr:row>
      <xdr:rowOff>0</xdr:rowOff>
    </xdr:from>
    <xdr:to>
      <xdr:col>59</xdr:col>
      <xdr:colOff>0</xdr:colOff>
      <xdr:row>98</xdr:row>
      <xdr:rowOff>0</xdr:rowOff>
    </xdr:to>
    <xdr:grpSp>
      <xdr:nvGrpSpPr>
        <xdr:cNvPr id="219" name="mini_dialog#contTOP">
          <a:extLst>
            <a:ext uri="{FF2B5EF4-FFF2-40B4-BE49-F238E27FC236}">
              <a16:creationId xmlns:a16="http://schemas.microsoft.com/office/drawing/2014/main" id="{3D7019C8-1AE6-461C-9FC6-5EC785EF465D}"/>
            </a:ext>
          </a:extLst>
        </xdr:cNvPr>
        <xdr:cNvGrpSpPr/>
      </xdr:nvGrpSpPr>
      <xdr:grpSpPr>
        <a:xfrm>
          <a:off x="2762250" y="7715250"/>
          <a:ext cx="2857500" cy="1619250"/>
          <a:chOff x="2762250" y="7715250"/>
          <a:chExt cx="2857500" cy="1619250"/>
        </a:xfrm>
      </xdr:grpSpPr>
      <xdr:grpSp>
        <xdr:nvGrpSpPr>
          <xdr:cNvPr id="124" name="bcg5#spriteTOP" descr=" не правильно настроен код##png" title="bcg5#sprite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GrpSpPr/>
        </xdr:nvGrpSpPr>
        <xdr:grpSpPr>
          <a:xfrm>
            <a:off x="2857500" y="7905750"/>
            <a:ext cx="2667000" cy="1238250"/>
            <a:chOff x="6000750" y="1682750"/>
            <a:chExt cx="1905000" cy="2222500"/>
          </a:xfrm>
        </xdr:grpSpPr>
        <xdr:sp macro="" textlink="">
          <xdr:nvSpPr>
            <xdr:cNvPr id="138" name="object">
              <a:extLst>
                <a:ext uri="{FF2B5EF4-FFF2-40B4-BE49-F238E27FC236}">
                  <a16:creationId xmlns:a16="http://schemas.microsoft.com/office/drawing/2014/main" id="{00000000-0008-0000-0000-00008A000000}"/>
                </a:ext>
              </a:extLst>
            </xdr:cNvPr>
            <xdr:cNvSpPr/>
          </xdr:nvSpPr>
          <xdr:spPr>
            <a:xfrm>
              <a:off x="6068786" y="1853712"/>
              <a:ext cx="1768929" cy="1880575"/>
            </a:xfrm>
            <a:prstGeom prst="roundRect">
              <a:avLst>
                <a:gd name="adj" fmla="val 8690"/>
              </a:avLst>
            </a:prstGeom>
            <a:solidFill>
              <a:srgbClr val="365C5B">
                <a:alpha val="67000"/>
              </a:srgb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39" name="bcg5#sprite" descr="objects[obj_name].x=$x;&#10;objects[obj_name].y=$y;&#10;objects[obj_name].base_tint=objects[obj_name].tint;##png" title="giveup_bcg#sprite">
              <a:extLst>
                <a:ext uri="{FF2B5EF4-FFF2-40B4-BE49-F238E27FC236}">
                  <a16:creationId xmlns:a16="http://schemas.microsoft.com/office/drawing/2014/main" id="{00000000-0008-0000-0000-00008B000000}"/>
                </a:ext>
              </a:extLst>
            </xdr:cNvPr>
            <xdr:cNvSpPr/>
          </xdr:nvSpPr>
          <xdr:spPr>
            <a:xfrm>
              <a:off x="6000750" y="1682750"/>
              <a:ext cx="1905000" cy="22225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75000"/>
                  <a:lumOff val="2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25" name="no5#spriteTOP" title="no5#sprite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GrpSpPr/>
        </xdr:nvGrpSpPr>
        <xdr:grpSpPr>
          <a:xfrm>
            <a:off x="4191000" y="8572500"/>
            <a:ext cx="1143000" cy="476250"/>
            <a:chOff x="6000750" y="1682750"/>
            <a:chExt cx="1905000" cy="2222500"/>
          </a:xfrm>
        </xdr:grpSpPr>
        <xdr:sp macro="" textlink="">
          <xdr:nvSpPr>
            <xdr:cNvPr id="136" name="object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SpPr/>
          </xdr:nvSpPr>
          <xdr:spPr>
            <a:xfrm>
              <a:off x="6159500" y="2127250"/>
              <a:ext cx="1587500" cy="1333500"/>
            </a:xfrm>
            <a:prstGeom prst="roundRect">
              <a:avLst>
                <a:gd name="adj" fmla="val 18690"/>
              </a:avLst>
            </a:prstGeom>
            <a:solidFill>
              <a:srgbClr val="447473"/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НЕТ</a:t>
              </a:r>
            </a:p>
          </xdr:txBody>
        </xdr:sp>
        <xdr:sp macro="" textlink="">
          <xdr:nvSpPr>
            <xdr:cNvPr id="137" name="no5#sprite" descr="objects[obj_name].x=$x;&#10;objects[obj_name].y=$y;&#10;objects[obj_name].base_tint=objects[obj_name].tint;&#10;objects[obj_name].buttonMode=true;&#10;objects[obj_name].interactive=true;&#10;objects[obj_name].pointerdown=function(){mini_dialog.no()};&#10;#objects[obj_name].pointerover=function(){this.tint=0xff9999};&#10;objects[obj_name].pointerout=function(){this.tint=this.base_tint};#png" title="giveup_no#sprite">
              <a:extLst>
                <a:ext uri="{FF2B5EF4-FFF2-40B4-BE49-F238E27FC236}">
                  <a16:creationId xmlns:a16="http://schemas.microsoft.com/office/drawing/2014/main" id="{00000000-0008-0000-0000-000089000000}"/>
                </a:ext>
              </a:extLst>
            </xdr:cNvPr>
            <xdr:cNvSpPr/>
          </xdr:nvSpPr>
          <xdr:spPr>
            <a:xfrm>
              <a:off x="6000750" y="1682750"/>
              <a:ext cx="1905000" cy="2222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26" name="mini_dialog#cont" descr="objects[obj_name]=new PIXI.Container();&#10;objects[obj_name].visible=false;&#10;objects[obj_name].ready=true;&#10;objects[obj_name].x=objects[obj_name].sx=$x;&#10;objects[obj_name].y=objects[obj_name].sy=$y;&#10;#objects[obj_name].addChild(objects.bcg5);&#10;objects[obj_name].addChild(objects.yes5);&#10;objects[obj_name].addChild(objects.no5);&#10;objects[obj_name].addChild(objects.t5);&#10;app.stage.addChild(objects[obj_name]);#png" title="giveup_dialog#cont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/>
        </xdr:nvSpPr>
        <xdr:spPr>
          <a:xfrm>
            <a:off x="2762250" y="7715250"/>
            <a:ext cx="2857500" cy="16192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27" name="yes5#spriteTOP" title="yes5#sprite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GrpSpPr/>
        </xdr:nvGrpSpPr>
        <xdr:grpSpPr>
          <a:xfrm>
            <a:off x="3048000" y="8572500"/>
            <a:ext cx="1143000" cy="476250"/>
            <a:chOff x="6000750" y="1682750"/>
            <a:chExt cx="1905000" cy="2222500"/>
          </a:xfrm>
        </xdr:grpSpPr>
        <xdr:sp macro="" textlink="">
          <xdr:nvSpPr>
            <xdr:cNvPr id="128" name="object">
              <a:extLst>
                <a:ext uri="{FF2B5EF4-FFF2-40B4-BE49-F238E27FC236}">
                  <a16:creationId xmlns:a16="http://schemas.microsoft.com/office/drawing/2014/main" id="{00000000-0008-0000-0000-000080000000}"/>
                </a:ext>
              </a:extLst>
            </xdr:cNvPr>
            <xdr:cNvSpPr/>
          </xdr:nvSpPr>
          <xdr:spPr>
            <a:xfrm>
              <a:off x="6159500" y="2127250"/>
              <a:ext cx="1587500" cy="1333500"/>
            </a:xfrm>
            <a:prstGeom prst="roundRect">
              <a:avLst>
                <a:gd name="adj" fmla="val 18690"/>
              </a:avLst>
            </a:prstGeom>
            <a:solidFill>
              <a:srgbClr val="447473"/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ДА</a:t>
              </a:r>
            </a:p>
          </xdr:txBody>
        </xdr:sp>
        <xdr:sp macro="" textlink="">
          <xdr:nvSpPr>
            <xdr:cNvPr id="135" name="yes5#sprite" descr="objects[obj_name].x=$x;&#10;objects[obj_name].y=$y;&#10;objects[obj_name].base_tint=objects[obj_name].tint;&#10;objects[obj_name].buttonMode=true;&#10;objects[obj_name].interactive=true;&#10;objects[obj_name].pointerdown=function(){mini_dialog.yes()};&#10;&#10;#objects[obj_name].pointerover=function(){this.tint=0xff9999};&#10;objects[obj_name].pointerout=function(){this.tint=this.base_tint};#png" title="giveup_yes#sprite">
              <a:extLst>
                <a:ext uri="{FF2B5EF4-FFF2-40B4-BE49-F238E27FC236}">
                  <a16:creationId xmlns:a16="http://schemas.microsoft.com/office/drawing/2014/main" id="{00000000-0008-0000-0000-000087000000}"/>
                </a:ext>
              </a:extLst>
            </xdr:cNvPr>
            <xdr:cNvSpPr/>
          </xdr:nvSpPr>
          <xdr:spPr>
            <a:xfrm>
              <a:off x="6000750" y="1682750"/>
              <a:ext cx="1905000" cy="2222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218" name="t5#block" descr="objects[obj_name]=new PIXI.BitmapText('X', {fontName: 'Century Gothic',fontSize: 30});&#10;objects[obj_name].anchor.set(0.5,0);&#10;objects[obj_name].visible=true;&#10;objects[obj_name].sx=objects[obj_name].x=$x;&#10;objects[obj_name].sy=objects[obj_name].y=$y;&#10;objects[obj_name].base_tint=objects[obj_name].tint=$col;#&#10;&#10;#png" title="timer_text#block">
            <a:extLst>
              <a:ext uri="{FF2B5EF4-FFF2-40B4-BE49-F238E27FC236}">
                <a16:creationId xmlns:a16="http://schemas.microsoft.com/office/drawing/2014/main" id="{D1EF222C-CAC0-4E21-A05F-238B7B241EDF}"/>
              </a:ext>
            </a:extLst>
          </xdr:cNvPr>
          <xdr:cNvSpPr/>
        </xdr:nvSpPr>
        <xdr:spPr>
          <a:xfrm>
            <a:off x="3143250" y="8191500"/>
            <a:ext cx="2095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Сдаемся Ничья?</a:t>
            </a:r>
          </a:p>
        </xdr:txBody>
      </xdr:sp>
    </xdr:grpSp>
    <xdr:clientData/>
  </xdr:twoCellAnchor>
  <xdr:twoCellAnchor>
    <xdr:from>
      <xdr:col>59</xdr:col>
      <xdr:colOff>0</xdr:colOff>
      <xdr:row>53</xdr:row>
      <xdr:rowOff>0</xdr:rowOff>
    </xdr:from>
    <xdr:to>
      <xdr:col>64</xdr:col>
      <xdr:colOff>0</xdr:colOff>
      <xdr:row>56</xdr:row>
      <xdr:rowOff>0</xdr:rowOff>
    </xdr:to>
    <xdr:sp macro="" textlink="">
      <xdr:nvSpPr>
        <xdr:cNvPr id="64" name="timer#block" descr="objects[obj_name]=new PIXI.BitmapText('0:30', {fontName: 'Century Gothic',fontSize: 25});&#10;objects[obj_name].anchor.set(0.5,0);&#10;objects[obj_name].visible=false;&#10;objects[obj_name].sx=objects[obj_name].x=$x;&#10;objects[obj_name].sy=objects[obj_name].y=$y;&#10;objects[obj_name].base_tint=objects[obj_name].tint=$col;#app.stage.addChild(objects[obj_name]);#png" title="timer_text#block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5619750" y="5048250"/>
          <a:ext cx="476250" cy="28575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0:30</a:t>
          </a:r>
          <a:endParaRPr lang="ru-RU" sz="1100" b="1" cap="none" spc="0">
            <a:ln>
              <a:noFill/>
            </a:ln>
            <a:solidFill>
              <a:schemeClr val="bg1">
                <a:lumMod val="85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90</xdr:col>
      <xdr:colOff>0</xdr:colOff>
      <xdr:row>53</xdr:row>
      <xdr:rowOff>0</xdr:rowOff>
    </xdr:from>
    <xdr:to>
      <xdr:col>101</xdr:col>
      <xdr:colOff>0</xdr:colOff>
      <xdr:row>57</xdr:row>
      <xdr:rowOff>0</xdr:rowOff>
    </xdr:to>
    <xdr:sp macro="[0]!ЭтаКнига.hide_selected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E298275F-EC8B-4A21-BC0B-572FC4F82972}"/>
            </a:ext>
          </a:extLst>
        </xdr:cNvPr>
        <xdr:cNvSpPr/>
      </xdr:nvSpPr>
      <xdr:spPr>
        <a:xfrm>
          <a:off x="8572500" y="50482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101</xdr:col>
      <xdr:colOff>0</xdr:colOff>
      <xdr:row>53</xdr:row>
      <xdr:rowOff>0</xdr:rowOff>
    </xdr:from>
    <xdr:to>
      <xdr:col>112</xdr:col>
      <xdr:colOff>0</xdr:colOff>
      <xdr:row>57</xdr:row>
      <xdr:rowOff>0</xdr:rowOff>
    </xdr:to>
    <xdr:sp macro="[0]!ЭтаКнига.unhide_all" textlink="">
      <xdr:nvSpPr>
        <xdr:cNvPr id="344" name="Прямоугольник 343">
          <a:extLst>
            <a:ext uri="{FF2B5EF4-FFF2-40B4-BE49-F238E27FC236}">
              <a16:creationId xmlns:a16="http://schemas.microsoft.com/office/drawing/2014/main" id="{6E133304-C579-4D00-8701-7F3A6C4F6C45}"/>
            </a:ext>
          </a:extLst>
        </xdr:cNvPr>
        <xdr:cNvSpPr/>
      </xdr:nvSpPr>
      <xdr:spPr>
        <a:xfrm>
          <a:off x="9620250" y="50482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104</xdr:col>
      <xdr:colOff>0</xdr:colOff>
      <xdr:row>103</xdr:row>
      <xdr:rowOff>0</xdr:rowOff>
    </xdr:from>
    <xdr:to>
      <xdr:col>115</xdr:col>
      <xdr:colOff>0</xdr:colOff>
      <xdr:row>107</xdr:row>
      <xdr:rowOff>0</xdr:rowOff>
    </xdr:to>
    <xdr:sp macro="[0]!ЭтаКнига.hide_selected" textlink="">
      <xdr:nvSpPr>
        <xdr:cNvPr id="345" name="Прямоугольник 344">
          <a:extLst>
            <a:ext uri="{FF2B5EF4-FFF2-40B4-BE49-F238E27FC236}">
              <a16:creationId xmlns:a16="http://schemas.microsoft.com/office/drawing/2014/main" id="{AF1D5277-CB60-49AD-850E-9867AA6496A2}"/>
            </a:ext>
          </a:extLst>
        </xdr:cNvPr>
        <xdr:cNvSpPr/>
      </xdr:nvSpPr>
      <xdr:spPr>
        <a:xfrm>
          <a:off x="9906000" y="98107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115</xdr:col>
      <xdr:colOff>0</xdr:colOff>
      <xdr:row>103</xdr:row>
      <xdr:rowOff>0</xdr:rowOff>
    </xdr:from>
    <xdr:to>
      <xdr:col>126</xdr:col>
      <xdr:colOff>0</xdr:colOff>
      <xdr:row>107</xdr:row>
      <xdr:rowOff>0</xdr:rowOff>
    </xdr:to>
    <xdr:sp macro="[0]!ЭтаКнига.unhide_all" textlink="">
      <xdr:nvSpPr>
        <xdr:cNvPr id="346" name="Прямоугольник 345">
          <a:extLst>
            <a:ext uri="{FF2B5EF4-FFF2-40B4-BE49-F238E27FC236}">
              <a16:creationId xmlns:a16="http://schemas.microsoft.com/office/drawing/2014/main" id="{E710BB9B-2A1E-4E2B-93D5-B8EF98E9FB71}"/>
            </a:ext>
          </a:extLst>
        </xdr:cNvPr>
        <xdr:cNvSpPr/>
      </xdr:nvSpPr>
      <xdr:spPr>
        <a:xfrm>
          <a:off x="10953750" y="98107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107</xdr:col>
      <xdr:colOff>0</xdr:colOff>
      <xdr:row>159</xdr:row>
      <xdr:rowOff>0</xdr:rowOff>
    </xdr:from>
    <xdr:to>
      <xdr:col>118</xdr:col>
      <xdr:colOff>0</xdr:colOff>
      <xdr:row>163</xdr:row>
      <xdr:rowOff>0</xdr:rowOff>
    </xdr:to>
    <xdr:sp macro="[0]!ЭтаКнига.hide_selected" textlink="">
      <xdr:nvSpPr>
        <xdr:cNvPr id="347" name="Прямоугольник 346">
          <a:extLst>
            <a:ext uri="{FF2B5EF4-FFF2-40B4-BE49-F238E27FC236}">
              <a16:creationId xmlns:a16="http://schemas.microsoft.com/office/drawing/2014/main" id="{C4A589A4-2DED-4362-AF1B-E054ED82BAA5}"/>
            </a:ext>
          </a:extLst>
        </xdr:cNvPr>
        <xdr:cNvSpPr/>
      </xdr:nvSpPr>
      <xdr:spPr>
        <a:xfrm>
          <a:off x="10191750" y="151447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118</xdr:col>
      <xdr:colOff>0</xdr:colOff>
      <xdr:row>159</xdr:row>
      <xdr:rowOff>0</xdr:rowOff>
    </xdr:from>
    <xdr:to>
      <xdr:col>129</xdr:col>
      <xdr:colOff>0</xdr:colOff>
      <xdr:row>163</xdr:row>
      <xdr:rowOff>0</xdr:rowOff>
    </xdr:to>
    <xdr:sp macro="[0]!ЭтаКнига.unhide_all" textlink="">
      <xdr:nvSpPr>
        <xdr:cNvPr id="348" name="Прямоугольник 347">
          <a:extLst>
            <a:ext uri="{FF2B5EF4-FFF2-40B4-BE49-F238E27FC236}">
              <a16:creationId xmlns:a16="http://schemas.microsoft.com/office/drawing/2014/main" id="{7D9C6FD1-FFC4-47BD-8F81-9DA778BFFE77}"/>
            </a:ext>
          </a:extLst>
        </xdr:cNvPr>
        <xdr:cNvSpPr/>
      </xdr:nvSpPr>
      <xdr:spPr>
        <a:xfrm>
          <a:off x="11239500" y="151447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107</xdr:col>
      <xdr:colOff>0</xdr:colOff>
      <xdr:row>210</xdr:row>
      <xdr:rowOff>0</xdr:rowOff>
    </xdr:from>
    <xdr:to>
      <xdr:col>118</xdr:col>
      <xdr:colOff>0</xdr:colOff>
      <xdr:row>214</xdr:row>
      <xdr:rowOff>0</xdr:rowOff>
    </xdr:to>
    <xdr:sp macro="[0]!ЭтаКнига.hide_selected" textlink="">
      <xdr:nvSpPr>
        <xdr:cNvPr id="349" name="Прямоугольник 348">
          <a:extLst>
            <a:ext uri="{FF2B5EF4-FFF2-40B4-BE49-F238E27FC236}">
              <a16:creationId xmlns:a16="http://schemas.microsoft.com/office/drawing/2014/main" id="{41A3531F-ED27-4C3C-AB06-BB98148700B5}"/>
            </a:ext>
          </a:extLst>
        </xdr:cNvPr>
        <xdr:cNvSpPr/>
      </xdr:nvSpPr>
      <xdr:spPr>
        <a:xfrm>
          <a:off x="10191750" y="2000250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118</xdr:col>
      <xdr:colOff>0</xdr:colOff>
      <xdr:row>210</xdr:row>
      <xdr:rowOff>0</xdr:rowOff>
    </xdr:from>
    <xdr:to>
      <xdr:col>129</xdr:col>
      <xdr:colOff>0</xdr:colOff>
      <xdr:row>214</xdr:row>
      <xdr:rowOff>0</xdr:rowOff>
    </xdr:to>
    <xdr:sp macro="[0]!ЭтаКнига.unhide_all" textlink="">
      <xdr:nvSpPr>
        <xdr:cNvPr id="350" name="Прямоугольник 349">
          <a:extLst>
            <a:ext uri="{FF2B5EF4-FFF2-40B4-BE49-F238E27FC236}">
              <a16:creationId xmlns:a16="http://schemas.microsoft.com/office/drawing/2014/main" id="{E8FFE639-8173-47DC-A33C-3AC0E2A64FD3}"/>
            </a:ext>
          </a:extLst>
        </xdr:cNvPr>
        <xdr:cNvSpPr/>
      </xdr:nvSpPr>
      <xdr:spPr>
        <a:xfrm>
          <a:off x="11239500" y="2000250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110</xdr:col>
      <xdr:colOff>0</xdr:colOff>
      <xdr:row>258</xdr:row>
      <xdr:rowOff>0</xdr:rowOff>
    </xdr:from>
    <xdr:to>
      <xdr:col>121</xdr:col>
      <xdr:colOff>0</xdr:colOff>
      <xdr:row>262</xdr:row>
      <xdr:rowOff>0</xdr:rowOff>
    </xdr:to>
    <xdr:sp macro="[0]!ЭтаКнига.hide_selected" textlink="">
      <xdr:nvSpPr>
        <xdr:cNvPr id="351" name="Прямоугольник 350">
          <a:extLst>
            <a:ext uri="{FF2B5EF4-FFF2-40B4-BE49-F238E27FC236}">
              <a16:creationId xmlns:a16="http://schemas.microsoft.com/office/drawing/2014/main" id="{19C02A27-6E6C-4355-AE12-AB21384B74ED}"/>
            </a:ext>
          </a:extLst>
        </xdr:cNvPr>
        <xdr:cNvSpPr/>
      </xdr:nvSpPr>
      <xdr:spPr>
        <a:xfrm>
          <a:off x="10477500" y="2457450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121</xdr:col>
      <xdr:colOff>0</xdr:colOff>
      <xdr:row>258</xdr:row>
      <xdr:rowOff>0</xdr:rowOff>
    </xdr:from>
    <xdr:to>
      <xdr:col>132</xdr:col>
      <xdr:colOff>0</xdr:colOff>
      <xdr:row>262</xdr:row>
      <xdr:rowOff>0</xdr:rowOff>
    </xdr:to>
    <xdr:sp macro="[0]!ЭтаКнига.unhide_all" textlink="">
      <xdr:nvSpPr>
        <xdr:cNvPr id="352" name="Прямоугольник 351">
          <a:extLst>
            <a:ext uri="{FF2B5EF4-FFF2-40B4-BE49-F238E27FC236}">
              <a16:creationId xmlns:a16="http://schemas.microsoft.com/office/drawing/2014/main" id="{2201666D-D474-4DD2-A3AA-C03B4C71D562}"/>
            </a:ext>
          </a:extLst>
        </xdr:cNvPr>
        <xdr:cNvSpPr/>
      </xdr:nvSpPr>
      <xdr:spPr>
        <a:xfrm>
          <a:off x="11525250" y="2457450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64</xdr:col>
      <xdr:colOff>0</xdr:colOff>
      <xdr:row>52</xdr:row>
      <xdr:rowOff>0</xdr:rowOff>
    </xdr:from>
    <xdr:to>
      <xdr:col>85</xdr:col>
      <xdr:colOff>0</xdr:colOff>
      <xdr:row>77</xdr:row>
      <xdr:rowOff>0</xdr:rowOff>
    </xdr:to>
    <xdr:grpSp>
      <xdr:nvGrpSpPr>
        <xdr:cNvPr id="220" name="opp_card_cont#contTOP">
          <a:extLst>
            <a:ext uri="{FF2B5EF4-FFF2-40B4-BE49-F238E27FC236}">
              <a16:creationId xmlns:a16="http://schemas.microsoft.com/office/drawing/2014/main" id="{411C5A68-156B-4494-862D-17B74C4D35D8}"/>
            </a:ext>
          </a:extLst>
        </xdr:cNvPr>
        <xdr:cNvGrpSpPr/>
      </xdr:nvGrpSpPr>
      <xdr:grpSpPr>
        <a:xfrm>
          <a:off x="6096000" y="4953000"/>
          <a:ext cx="2000250" cy="2381250"/>
          <a:chOff x="6096000" y="4953000"/>
          <a:chExt cx="2000250" cy="2381250"/>
        </a:xfrm>
      </xdr:grpSpPr>
      <xdr:sp macro="" textlink="">
        <xdr:nvSpPr>
          <xdr:cNvPr id="664" name="opp_card_bcg#block" descr="objects[obj_name] = new PIXI.Sprite();&#10;objects[obj_name].x=$x;&#10;objects[obj_name].y=$y;&#10;objects[obj_name].base_tint=objects[obj_name].tint;#objects[obj_name].texture = gres.card_bcg.texture;" title="opp_card_bcg#block">
            <a:extLst>
              <a:ext uri="{FF2B5EF4-FFF2-40B4-BE49-F238E27FC236}">
                <a16:creationId xmlns:a16="http://schemas.microsoft.com/office/drawing/2014/main" id="{929032E4-B54B-4C8F-81A2-9C31D7B14C40}"/>
              </a:ext>
            </a:extLst>
          </xdr:cNvPr>
          <xdr:cNvSpPr/>
        </xdr:nvSpPr>
        <xdr:spPr>
          <a:xfrm>
            <a:off x="6096000" y="5048250"/>
            <a:ext cx="1905000" cy="2190750"/>
          </a:xfrm>
          <a:prstGeom prst="rect">
            <a:avLst/>
          </a:prstGeom>
          <a:blipFill>
            <a:blip xmlns:r="http://schemas.openxmlformats.org/officeDocument/2006/relationships" r:embed="rId12"/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9" name="opp_card_name#block" descr="objects[obj_name]=new PIXI.BitmapText('', {fontName: 'Century Gothic',fontSize: 23,align: 'center'});&#10;objects[obj_name].anchor.set(0.5,0);&#10;objects[obj_name].x=$x;&#10;objects[obj_name].y=$y;&#10;objects[obj_name].base_tint=objects[obj_name].tint=$col;##png" title="opp_card_name#block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/>
        </xdr:nvSpPr>
        <xdr:spPr>
          <a:xfrm>
            <a:off x="6381750" y="6172200"/>
            <a:ext cx="1333501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80" name="opp_card_rating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opp_card_rating#block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/>
        </xdr:nvSpPr>
        <xdr:spPr>
          <a:xfrm>
            <a:off x="6381751" y="638175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81" name="opp_card_avatar#block" descr="objects[obj_name]=new PIXI.Sprite();&#10;objects[obj_name].sx=objects[obj_name].x=$x;&#10;objects[obj_name].sy=objects[obj_name].y=$y;&#10;objects[obj_name].width=$w;&#10;objects[obj_name].height=$h;&#10;#&#10;&#10;" title="opp_card_avatar#block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/>
        </xdr:nvSpPr>
        <xdr:spPr>
          <a:xfrm>
            <a:off x="6572249" y="5238750"/>
            <a:ext cx="952501" cy="857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82" name="opp_card_cont#cont" descr="objects[obj_name]=new PIXI.Container();&#10;objects[obj_name].visible=false;&#10;objects[obj_name].x=objects[obj_name].sx=$x;&#10;objects[obj_name].y=objects[obj_name].sy=$y;&#10;&#10;#objects[obj_name].addChild(objects.opp_card_bcg);&#10;objects[obj_name].addChild(objects.opp_card_name);&#10;objects[obj_name].addChild(objects.opp_card_rating);&#10;objects[obj_name].addChild(objects.opp_card_avatar);&#10;objects[obj_name].addChild(objects.opp_pn);&#10;objects[obj_name].addChild(objects.opp_rn);&#10;objects[obj_name].addChild(objects.opp_nn);&#10;objects[obj_name].addChild(objects.opp_bn);&#10;objects[obj_name].addChild(objects.opp_qn);&#10;app.stage.addChild(objects[obj_name]);#png" title="opp_card_cont#cont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6096000" y="4953000"/>
            <a:ext cx="2000250" cy="2381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391" name="opp_p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B03172EE-92FB-4838-B7AF-0AD85225B6D6}"/>
              </a:ext>
            </a:extLst>
          </xdr:cNvPr>
          <xdr:cNvSpPr/>
        </xdr:nvSpPr>
        <xdr:spPr>
          <a:xfrm>
            <a:off x="6324600" y="6772275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92" name="opp_r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8E19943C-D9F5-4267-9FF4-C84D727D181F}"/>
              </a:ext>
            </a:extLst>
          </xdr:cNvPr>
          <xdr:cNvSpPr/>
        </xdr:nvSpPr>
        <xdr:spPr>
          <a:xfrm>
            <a:off x="6667500" y="6772275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93" name="opp_n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04F67F15-DC3C-425E-AF9B-D8505638CCAE}"/>
              </a:ext>
            </a:extLst>
          </xdr:cNvPr>
          <xdr:cNvSpPr/>
        </xdr:nvSpPr>
        <xdr:spPr>
          <a:xfrm>
            <a:off x="7010400" y="6772275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94" name="opp_b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7CB99BF7-7259-4141-80EE-3EDCF7D2DA07}"/>
              </a:ext>
            </a:extLst>
          </xdr:cNvPr>
          <xdr:cNvSpPr/>
        </xdr:nvSpPr>
        <xdr:spPr>
          <a:xfrm>
            <a:off x="7353300" y="6772275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95" name="opp_q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4E68A089-1684-4D56-A8F5-AC61B7981AFF}"/>
              </a:ext>
            </a:extLst>
          </xdr:cNvPr>
          <xdr:cNvSpPr/>
        </xdr:nvSpPr>
        <xdr:spPr>
          <a:xfrm>
            <a:off x="7705725" y="6772275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15</xdr:col>
      <xdr:colOff>0</xdr:colOff>
      <xdr:row>59</xdr:row>
      <xdr:rowOff>0</xdr:rowOff>
    </xdr:from>
    <xdr:to>
      <xdr:col>73</xdr:col>
      <xdr:colOff>0</xdr:colOff>
      <xdr:row>83</xdr:row>
      <xdr:rowOff>0</xdr:rowOff>
    </xdr:to>
    <xdr:grpSp>
      <xdr:nvGrpSpPr>
        <xdr:cNvPr id="226" name="pawn_replace_dialog#contTOP">
          <a:extLst>
            <a:ext uri="{FF2B5EF4-FFF2-40B4-BE49-F238E27FC236}">
              <a16:creationId xmlns:a16="http://schemas.microsoft.com/office/drawing/2014/main" id="{85966EEE-5819-42B6-AB10-B5C0606B9A11}"/>
            </a:ext>
          </a:extLst>
        </xdr:cNvPr>
        <xdr:cNvGrpSpPr/>
      </xdr:nvGrpSpPr>
      <xdr:grpSpPr>
        <a:xfrm>
          <a:off x="1428750" y="5619750"/>
          <a:ext cx="5524500" cy="2286000"/>
          <a:chOff x="1428750" y="5619750"/>
          <a:chExt cx="5524500" cy="2286000"/>
        </a:xfrm>
      </xdr:grpSpPr>
      <xdr:grpSp>
        <xdr:nvGrpSpPr>
          <xdr:cNvPr id="311" name="pawn_replace_bcg#spriteTOP" title="pawn_replace_bcg#sprite">
            <a:extLst>
              <a:ext uri="{FF2B5EF4-FFF2-40B4-BE49-F238E27FC236}">
                <a16:creationId xmlns:a16="http://schemas.microsoft.com/office/drawing/2014/main" id="{006441E6-911A-40BC-BFC7-842687A0EE0D}"/>
              </a:ext>
            </a:extLst>
          </xdr:cNvPr>
          <xdr:cNvGrpSpPr/>
        </xdr:nvGrpSpPr>
        <xdr:grpSpPr>
          <a:xfrm>
            <a:off x="1524000" y="5715000"/>
            <a:ext cx="5334000" cy="1905000"/>
            <a:chOff x="3088821" y="10001250"/>
            <a:chExt cx="4825999" cy="1905000"/>
          </a:xfrm>
        </xdr:grpSpPr>
        <xdr:sp macro="" textlink="">
          <xdr:nvSpPr>
            <xdr:cNvPr id="327" name="object">
              <a:extLst>
                <a:ext uri="{FF2B5EF4-FFF2-40B4-BE49-F238E27FC236}">
                  <a16:creationId xmlns:a16="http://schemas.microsoft.com/office/drawing/2014/main" id="{2D16DF4F-AFE5-43FF-826C-0C4BC44A7CE6}"/>
                </a:ext>
              </a:extLst>
            </xdr:cNvPr>
            <xdr:cNvSpPr/>
          </xdr:nvSpPr>
          <xdr:spPr>
            <a:xfrm>
              <a:off x="3175000" y="10096500"/>
              <a:ext cx="4653642" cy="1714500"/>
            </a:xfrm>
            <a:prstGeom prst="rect">
              <a:avLst/>
            </a:prstGeom>
            <a:solidFill>
              <a:schemeClr val="bg2">
                <a:lumMod val="25000"/>
                <a:alpha val="82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600">
                  <a:latin typeface="BIPs" panose="030F0702030302020204" pitchFamily="66" charset="0"/>
                  <a:cs typeface="Times New Roman" panose="02020603050405020304" pitchFamily="18" charset="0"/>
                </a:rPr>
                <a:t>Выберите фигуру</a:t>
              </a:r>
            </a:p>
          </xdr:txBody>
        </xdr:sp>
        <xdr:sp macro="" textlink="">
          <xdr:nvSpPr>
            <xdr:cNvPr id="329" name="pawn_replace_bcg#sprite" descr="objects[obj_name].x=$x;&#10;objects[obj_name].y=$y;&#10;objects[obj_name].base_tint=objects[obj_name].tint;##png" title="pawn_replace_bcg#sprite">
              <a:extLst>
                <a:ext uri="{FF2B5EF4-FFF2-40B4-BE49-F238E27FC236}">
                  <a16:creationId xmlns:a16="http://schemas.microsoft.com/office/drawing/2014/main" id="{EEE1FF25-E745-4516-93AB-43D5B2D462EE}"/>
                </a:ext>
              </a:extLst>
            </xdr:cNvPr>
            <xdr:cNvSpPr/>
          </xdr:nvSpPr>
          <xdr:spPr>
            <a:xfrm>
              <a:off x="3088821" y="10001250"/>
              <a:ext cx="4825999" cy="1905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320" name="pawn_replace_dialog#cont" descr="objects[obj_name]=new PIXI.Container();&#10;objects[obj_name].visible=false;&#10;objects[obj_name].sx=objects[obj_name].x=110;&#10;objects[obj_name].x=objects[obj_name].sx=$x;&#10;objects[obj_name].y=objects[obj_name].sy=$y;&#10;#objects[obj_name].addChild(objects.pawn_replace_bcg);&#10;objects[obj_name].addChild(objects.pawn_replaceN);&#10;objects[obj_name].addChild(objects.pawn_replaceB);&#10;objects[obj_name].addChild(objects.pawn_replaceQ);&#10;objects[obj_name].addChild(objects.pawn_replaceR);&#10;app.stage.addChild(objects[obj_name]);#png" title="pawn_replace_dialog#cont">
            <a:extLst>
              <a:ext uri="{FF2B5EF4-FFF2-40B4-BE49-F238E27FC236}">
                <a16:creationId xmlns:a16="http://schemas.microsoft.com/office/drawing/2014/main" id="{596FBB85-232D-427B-8163-BD6763ADB7AA}"/>
              </a:ext>
            </a:extLst>
          </xdr:cNvPr>
          <xdr:cNvSpPr/>
        </xdr:nvSpPr>
        <xdr:spPr>
          <a:xfrm>
            <a:off x="1428750" y="5619750"/>
            <a:ext cx="5524500" cy="2286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3" name="pawn_replaceN#spriteTOP" title="pawn_replaceN#sprite">
            <a:extLst>
              <a:ext uri="{FF2B5EF4-FFF2-40B4-BE49-F238E27FC236}">
                <a16:creationId xmlns:a16="http://schemas.microsoft.com/office/drawing/2014/main" id="{8C2814E4-19B0-4D25-9BF5-CF652D42432F}"/>
              </a:ext>
            </a:extLst>
          </xdr:cNvPr>
          <xdr:cNvGrpSpPr/>
        </xdr:nvGrpSpPr>
        <xdr:grpSpPr>
          <a:xfrm>
            <a:off x="1714500" y="6286500"/>
            <a:ext cx="1238250" cy="1143000"/>
            <a:chOff x="11811000" y="13906500"/>
            <a:chExt cx="1238250" cy="1143000"/>
          </a:xfrm>
        </xdr:grpSpPr>
        <xdr:pic>
          <xdr:nvPicPr>
            <xdr:cNvPr id="20" name="object">
              <a:extLst>
                <a:ext uri="{FF2B5EF4-FFF2-40B4-BE49-F238E27FC236}">
                  <a16:creationId xmlns:a16="http://schemas.microsoft.com/office/drawing/2014/main" id="{F504B537-457B-4B4F-BB76-C03015E60A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0015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" textlink="">
          <xdr:nvSpPr>
            <xdr:cNvPr id="330" name="pawn_replaceN#sprite" descr="objects[obj_name].x=$x;&#10;objects[obj_name].y=$y;&#10;objects[obj_name].base_tint=objects[obj_name].tint;&#10;objects[obj_name].buttonMode=true;&#10;objects[obj_name].interactive=true;&#10;objects[obj_name].pointerdown=function(){pawn_replace_dialog.down('N')};&#10;&#10;#objects[obj_name].pointerover=function(){this.tint=0xff9999};&#10;objects[obj_name].pointerout=function(){this.tint=this.base_tint};#png" title="pawn_replaceN#sprite">
              <a:extLst>
                <a:ext uri="{FF2B5EF4-FFF2-40B4-BE49-F238E27FC236}">
                  <a16:creationId xmlns:a16="http://schemas.microsoft.com/office/drawing/2014/main" id="{04B7F303-20B9-4E34-8611-8D3570B8D11A}"/>
                </a:ext>
              </a:extLst>
            </xdr:cNvPr>
            <xdr:cNvSpPr/>
          </xdr:nvSpPr>
          <xdr:spPr>
            <a:xfrm>
              <a:off x="118110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34" name="pawn_replaceB#spriteTOP" title="pawn_replaceB#sprite">
            <a:extLst>
              <a:ext uri="{FF2B5EF4-FFF2-40B4-BE49-F238E27FC236}">
                <a16:creationId xmlns:a16="http://schemas.microsoft.com/office/drawing/2014/main" id="{5E1C5C6B-3703-450B-9D42-3CF655314291}"/>
              </a:ext>
            </a:extLst>
          </xdr:cNvPr>
          <xdr:cNvGrpSpPr/>
        </xdr:nvGrpSpPr>
        <xdr:grpSpPr>
          <a:xfrm>
            <a:off x="2952750" y="6286500"/>
            <a:ext cx="1238250" cy="1143000"/>
            <a:chOff x="13144500" y="13906500"/>
            <a:chExt cx="1238250" cy="1143000"/>
          </a:xfrm>
        </xdr:grpSpPr>
        <xdr:sp macro="" textlink="">
          <xdr:nvSpPr>
            <xdr:cNvPr id="331" name="pawn_replaceB#sprite" descr="objects[obj_name].x=$x;&#10;objects[obj_name].y=$y;&#10;objects[obj_name].base_tint=objects[obj_name].tint;&#10;objects[obj_name].buttonMode=true;&#10;objects[obj_name].interactive=true;&#10;objects[obj_name].pointerdown=function(){pawn_replace_dialog.down('B')};&#10;&#10;&#10;#objects[obj_name].pointerover=function(){this.tint=0xff9999};&#10;objects[obj_name].pointerout=function(){this.tint=this.base_tint};#png" title="pawn_replaceB#sprite">
              <a:extLst>
                <a:ext uri="{FF2B5EF4-FFF2-40B4-BE49-F238E27FC236}">
                  <a16:creationId xmlns:a16="http://schemas.microsoft.com/office/drawing/2014/main" id="{10A9848A-C371-4F91-B751-0DFB4B3CC169}"/>
                </a:ext>
              </a:extLst>
            </xdr:cNvPr>
            <xdr:cNvSpPr/>
          </xdr:nvSpPr>
          <xdr:spPr>
            <a:xfrm>
              <a:off x="131445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18" name="object">
              <a:extLst>
                <a:ext uri="{FF2B5EF4-FFF2-40B4-BE49-F238E27FC236}">
                  <a16:creationId xmlns:a16="http://schemas.microsoft.com/office/drawing/2014/main" id="{AAD27CB5-3001-45CD-8D7E-5537383543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3350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grpSp>
        <xdr:nvGrpSpPr>
          <xdr:cNvPr id="35" name="pawn_replaceQ#spriteTOP" title="pawn_replaceQ#sprite">
            <a:extLst>
              <a:ext uri="{FF2B5EF4-FFF2-40B4-BE49-F238E27FC236}">
                <a16:creationId xmlns:a16="http://schemas.microsoft.com/office/drawing/2014/main" id="{1B5476E6-6BEF-439D-A4B4-1C7F35652A67}"/>
              </a:ext>
            </a:extLst>
          </xdr:cNvPr>
          <xdr:cNvGrpSpPr/>
        </xdr:nvGrpSpPr>
        <xdr:grpSpPr>
          <a:xfrm>
            <a:off x="4191000" y="6286500"/>
            <a:ext cx="1238250" cy="1143000"/>
            <a:chOff x="14478000" y="13906500"/>
            <a:chExt cx="1238250" cy="1143000"/>
          </a:xfrm>
        </xdr:grpSpPr>
        <xdr:sp macro="" textlink="">
          <xdr:nvSpPr>
            <xdr:cNvPr id="332" name="pawn_replaceQ#sprite" descr="objects[obj_name].x=$x;&#10;objects[obj_name].y=$y;&#10;objects[obj_name].base_tint=objects[obj_name].tint;&#10;objects[obj_name].buttonMode=true;&#10;objects[obj_name].interactive=true;&#10;objects[obj_name].pointerdown=function(){pawn_replace_dialog.down('Q')};&#10;&#10;#objects[obj_name].pointerover=function(){this.tint=0xff9999};&#10;objects[obj_name].pointerout=function(){this.tint=this.base_tint};#png" title="pawn_replaceQ#sprite">
              <a:extLst>
                <a:ext uri="{FF2B5EF4-FFF2-40B4-BE49-F238E27FC236}">
                  <a16:creationId xmlns:a16="http://schemas.microsoft.com/office/drawing/2014/main" id="{F3C30004-3E65-49C3-86F3-8779D256E726}"/>
                </a:ext>
              </a:extLst>
            </xdr:cNvPr>
            <xdr:cNvSpPr/>
          </xdr:nvSpPr>
          <xdr:spPr>
            <a:xfrm>
              <a:off x="144780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22" name="object">
              <a:extLst>
                <a:ext uri="{FF2B5EF4-FFF2-40B4-BE49-F238E27FC236}">
                  <a16:creationId xmlns:a16="http://schemas.microsoft.com/office/drawing/2014/main" id="{26431A52-91C1-4A8F-A63C-7053186D14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6685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grpSp>
        <xdr:nvGrpSpPr>
          <xdr:cNvPr id="36" name="pawn_replaceR#spriteTOP" title="pawn_replaceR#sprite">
            <a:extLst>
              <a:ext uri="{FF2B5EF4-FFF2-40B4-BE49-F238E27FC236}">
                <a16:creationId xmlns:a16="http://schemas.microsoft.com/office/drawing/2014/main" id="{CF1F7D86-3CD4-4E6A-B186-60A41F5B6F1E}"/>
              </a:ext>
            </a:extLst>
          </xdr:cNvPr>
          <xdr:cNvGrpSpPr/>
        </xdr:nvGrpSpPr>
        <xdr:grpSpPr>
          <a:xfrm>
            <a:off x="5429250" y="6286500"/>
            <a:ext cx="1238250" cy="1143000"/>
            <a:chOff x="15811500" y="13906500"/>
            <a:chExt cx="1238250" cy="1143000"/>
          </a:xfrm>
        </xdr:grpSpPr>
        <xdr:sp macro="" textlink="">
          <xdr:nvSpPr>
            <xdr:cNvPr id="333" name="pawn_replaceR#sprite" descr="objects[obj_name].x=$x;&#10;objects[obj_name].y=$y;&#10;objects[obj_name].base_tint=objects[obj_name].tint;&#10;objects[obj_name].buttonMode=true;&#10;objects[obj_name].interactive=true;&#10;objects[obj_name].pointerdown=function(){pawn_replace_dialog.down('R')};&#10;&#10;#objects[obj_name].pointerover=function(){this.tint=0xff9999};&#10;objects[obj_name].pointerout=function(){this.tint=this.base_tint};#png" title="pawn_replaceR#sprite">
              <a:extLst>
                <a:ext uri="{FF2B5EF4-FFF2-40B4-BE49-F238E27FC236}">
                  <a16:creationId xmlns:a16="http://schemas.microsoft.com/office/drawing/2014/main" id="{503D011C-4E8F-4594-B291-A7FD76E957C2}"/>
                </a:ext>
              </a:extLst>
            </xdr:cNvPr>
            <xdr:cNvSpPr/>
          </xdr:nvSpPr>
          <xdr:spPr>
            <a:xfrm>
              <a:off x="158115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24" name="object">
              <a:extLst>
                <a:ext uri="{FF2B5EF4-FFF2-40B4-BE49-F238E27FC236}">
                  <a16:creationId xmlns:a16="http://schemas.microsoft.com/office/drawing/2014/main" id="{60D021E0-55BD-4AE1-8E2C-43D849CFA4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60020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</xdr:grpSp>
    <xdr:clientData/>
  </xdr:twoCellAnchor>
  <xdr:twoCellAnchor>
    <xdr:from>
      <xdr:col>25</xdr:col>
      <xdr:colOff>0</xdr:colOff>
      <xdr:row>105</xdr:row>
      <xdr:rowOff>0</xdr:rowOff>
    </xdr:from>
    <xdr:to>
      <xdr:col>63</xdr:col>
      <xdr:colOff>0</xdr:colOff>
      <xdr:row>131</xdr:row>
      <xdr:rowOff>0</xdr:rowOff>
    </xdr:to>
    <xdr:grpSp>
      <xdr:nvGrpSpPr>
        <xdr:cNvPr id="230" name="req_cont#contTOP">
          <a:extLst>
            <a:ext uri="{FF2B5EF4-FFF2-40B4-BE49-F238E27FC236}">
              <a16:creationId xmlns:a16="http://schemas.microsoft.com/office/drawing/2014/main" id="{A37AC0F2-965D-4AF9-961B-6ACBAA8F8126}"/>
            </a:ext>
          </a:extLst>
        </xdr:cNvPr>
        <xdr:cNvGrpSpPr/>
      </xdr:nvGrpSpPr>
      <xdr:grpSpPr>
        <a:xfrm>
          <a:off x="2381250" y="10001250"/>
          <a:ext cx="3619500" cy="2476500"/>
          <a:chOff x="2381250" y="10001250"/>
          <a:chExt cx="3619500" cy="2476500"/>
        </a:xfrm>
      </xdr:grpSpPr>
      <xdr:grpSp>
        <xdr:nvGrpSpPr>
          <xdr:cNvPr id="100" name="req_bcg#spriteTOP" title="req_bcg#sprite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GrpSpPr/>
        </xdr:nvGrpSpPr>
        <xdr:grpSpPr>
          <a:xfrm>
            <a:off x="2476500" y="10096501"/>
            <a:ext cx="3429000" cy="2095499"/>
            <a:chOff x="2744108" y="9810751"/>
            <a:chExt cx="3102427" cy="2095499"/>
          </a:xfrm>
        </xdr:grpSpPr>
        <xdr:sp macro="" textlink="">
          <xdr:nvSpPr>
            <xdr:cNvPr id="108" name="object">
              <a:extLst>
                <a:ext uri="{FF2B5EF4-FFF2-40B4-BE49-F238E27FC236}">
                  <a16:creationId xmlns:a16="http://schemas.microsoft.com/office/drawing/2014/main" id="{00000000-0008-0000-0000-00006C000000}"/>
                </a:ext>
              </a:extLst>
            </xdr:cNvPr>
            <xdr:cNvSpPr/>
          </xdr:nvSpPr>
          <xdr:spPr>
            <a:xfrm>
              <a:off x="2830286" y="9906001"/>
              <a:ext cx="2930069" cy="1905000"/>
            </a:xfrm>
            <a:prstGeom prst="rect">
              <a:avLst/>
            </a:prstGeom>
            <a:solidFill>
              <a:srgbClr val="FF0000">
                <a:alpha val="88000"/>
              </a:srgb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1" i="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Приглашение</a:t>
              </a:r>
            </a:p>
          </xdr:txBody>
        </xdr:sp>
        <xdr:sp macro="" textlink="">
          <xdr:nvSpPr>
            <xdr:cNvPr id="109" name="object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SpPr/>
          </xdr:nvSpPr>
          <xdr:spPr>
            <a:xfrm>
              <a:off x="3088822" y="10382250"/>
              <a:ext cx="775607" cy="76200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0" name="req_bcg#sprite" descr="objects[obj_name].x=$x;&#10;objects[obj_name].y=$y;&#10;objects[obj_name].base_tint=objects[obj_name].tint;##png" title="req_bcg#sprite">
              <a:extLst>
                <a:ext uri="{FF2B5EF4-FFF2-40B4-BE49-F238E27FC236}">
                  <a16:creationId xmlns:a16="http://schemas.microsoft.com/office/drawing/2014/main" id="{00000000-0008-0000-0000-00006E000000}"/>
                </a:ext>
              </a:extLst>
            </xdr:cNvPr>
            <xdr:cNvSpPr/>
          </xdr:nvSpPr>
          <xdr:spPr>
            <a:xfrm>
              <a:off x="2744108" y="9810751"/>
              <a:ext cx="3102427" cy="20954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1" name="req_name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req_name#block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/>
        </xdr:nvSpPr>
        <xdr:spPr>
          <a:xfrm>
            <a:off x="4019549" y="10696575"/>
            <a:ext cx="15049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5">
                    <a:lumMod val="75000"/>
                  </a:schemeClr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102" name="req_rating#block" descr="objects[obj_name]=new PIXI.BitmapText('', {fontName: 'Century Gothic',fontSize: 30,align: 'center'});&#10;objects[obj_name].anchor.set(0.5,0);&#10;objects[obj_name].x=$x;&#10;objects[obj_name].y=$y;&#10;objects[obj_name].base_tint=objects[obj_name].tint=$col;##png" title="req_rating#block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/>
        </xdr:nvSpPr>
        <xdr:spPr>
          <a:xfrm>
            <a:off x="4019549" y="11115675"/>
            <a:ext cx="1504950" cy="1714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103" name="req_avatar#block" descr="objects[obj_name]=new PIXI.Sprite();&#10;objects[obj_name].sx=objects[obj_name].x=$x;&#10;objects[obj_name].sy=objects[obj_name].y=$y;&#10;objects[obj_name].width=$w;&#10;objects[obj_name].height=$h;&#10;#&#10;&#10;" title="req_avatar#block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/>
        </xdr:nvSpPr>
        <xdr:spPr>
          <a:xfrm>
            <a:off x="2857500" y="10668000"/>
            <a:ext cx="857250" cy="762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105" name="req_ok#spriteTOP" title="req_ok#sprite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GrpSpPr/>
        </xdr:nvGrpSpPr>
        <xdr:grpSpPr>
          <a:xfrm>
            <a:off x="2571749" y="11382374"/>
            <a:ext cx="1619250" cy="714375"/>
            <a:chOff x="8667750" y="10715626"/>
            <a:chExt cx="1079500" cy="714375"/>
          </a:xfrm>
        </xdr:grpSpPr>
        <xdr:sp macro="" textlink="">
          <xdr:nvSpPr>
            <xdr:cNvPr id="106" name="object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SpPr/>
          </xdr:nvSpPr>
          <xdr:spPr>
            <a:xfrm>
              <a:off x="8731251" y="10858502"/>
              <a:ext cx="952500" cy="476250"/>
            </a:xfrm>
            <a:prstGeom prst="rect">
              <a:avLst/>
            </a:prstGeom>
            <a:solidFill>
              <a:schemeClr val="accent2">
                <a:lumMod val="60000"/>
                <a:lumOff val="40000"/>
                <a:alpha val="8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1">
                  <a:solidFill>
                    <a:schemeClr val="tx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3600" b="1">
                <a:solidFill>
                  <a:schemeClr val="tx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07" name="req_ok#sprite" descr="objects[obj_name].x=$x;&#10;objects[obj_name].y=$y;&#10;objects[obj_name].interactive=true;&#10;objects[obj_name].buttonMode=true;&#10;objects[obj_name].pointerdown=function(){req_dialog.accept()};&#10;objects[obj_name].base_tint=objects[obj_name].tint;##png" title="req_ok#sprite">
              <a:extLst>
                <a:ext uri="{FF2B5EF4-FFF2-40B4-BE49-F238E27FC236}">
                  <a16:creationId xmlns:a16="http://schemas.microsoft.com/office/drawing/2014/main" id="{00000000-0008-0000-0000-00006B000000}"/>
                </a:ext>
              </a:extLst>
            </xdr:cNvPr>
            <xdr:cNvSpPr/>
          </xdr:nvSpPr>
          <xdr:spPr>
            <a:xfrm>
              <a:off x="8667750" y="10715626"/>
              <a:ext cx="107950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11" name="req_deny#spriteTOP" title="req_deny#sprite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GrpSpPr/>
        </xdr:nvGrpSpPr>
        <xdr:grpSpPr>
          <a:xfrm>
            <a:off x="4190999" y="11382375"/>
            <a:ext cx="1619251" cy="714375"/>
            <a:chOff x="8667748" y="10715627"/>
            <a:chExt cx="1050325" cy="714375"/>
          </a:xfrm>
        </xdr:grpSpPr>
        <xdr:sp macro="" textlink="">
          <xdr:nvSpPr>
            <xdr:cNvPr id="112" name="object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SpPr/>
          </xdr:nvSpPr>
          <xdr:spPr>
            <a:xfrm>
              <a:off x="8729530" y="10858502"/>
              <a:ext cx="926759" cy="476250"/>
            </a:xfrm>
            <a:prstGeom prst="rect">
              <a:avLst/>
            </a:prstGeom>
            <a:solidFill>
              <a:schemeClr val="accent6">
                <a:lumMod val="60000"/>
                <a:lumOff val="40000"/>
                <a:alpha val="8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4400" b="1">
                  <a:solidFill>
                    <a:schemeClr val="tx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</a:t>
              </a:r>
              <a:endParaRPr lang="ru-RU" sz="4400" b="1">
                <a:solidFill>
                  <a:schemeClr val="tx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3" name="req_deny#sprite" descr="objects[obj_name].x=$x;&#10;objects[obj_name].y=$y;&#10;objects[obj_name].interactive=true;&#10;objects[obj_name].buttonMode=true;&#10;objects[obj_name].pointerdown=function(){req_dialog.reject()};&#10;objects[obj_name].base_tint=objects[obj_name].tint;##png" title="req_deny#sprite">
              <a:extLst>
                <a:ext uri="{FF2B5EF4-FFF2-40B4-BE49-F238E27FC236}">
                  <a16:creationId xmlns:a16="http://schemas.microsoft.com/office/drawing/2014/main" id="{00000000-0008-0000-0000-000071000000}"/>
                </a:ext>
              </a:extLst>
            </xdr:cNvPr>
            <xdr:cNvSpPr/>
          </xdr:nvSpPr>
          <xdr:spPr>
            <a:xfrm>
              <a:off x="8667748" y="10715627"/>
              <a:ext cx="1050325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15" name="req_cont#cont" descr="objects[obj_name]=new PIXI.Container();&#10;objects[obj_name].visible=false;&#10;objects[obj_name].x=objects[obj_name].sx=$x;&#10;objects[obj_name].y=objects[obj_name].sy=$y;&#10;&#10;#objects[obj_name].addChild(objects.req_bcg);&#10;objects[obj_name].addChild(objects.req_avatar);&#10;objects[obj_name].addChild(objects.req_name);&#10;objects[obj_name].addChild(objects.req_rating);&#10;objects[obj_name].addChild(objects.req_ok);&#10;objects[obj_name].addChild(objects.req_deny);&#10;app.stage.addChild(objects[obj_name]);#png" title="req_cont#cont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/>
        </xdr:nvSpPr>
        <xdr:spPr>
          <a:xfrm>
            <a:off x="2381250" y="10001250"/>
            <a:ext cx="3619500" cy="2476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28</xdr:col>
      <xdr:colOff>0</xdr:colOff>
      <xdr:row>259</xdr:row>
      <xdr:rowOff>0</xdr:rowOff>
    </xdr:from>
    <xdr:to>
      <xdr:col>60</xdr:col>
      <xdr:colOff>0</xdr:colOff>
      <xdr:row>281</xdr:row>
      <xdr:rowOff>0</xdr:rowOff>
    </xdr:to>
    <xdr:grpSp>
      <xdr:nvGrpSpPr>
        <xdr:cNvPr id="233" name="big_message_cont#contTOP">
          <a:extLst>
            <a:ext uri="{FF2B5EF4-FFF2-40B4-BE49-F238E27FC236}">
              <a16:creationId xmlns:a16="http://schemas.microsoft.com/office/drawing/2014/main" id="{E4B99687-FB90-434F-87AF-1DE6C9C177F1}"/>
            </a:ext>
          </a:extLst>
        </xdr:cNvPr>
        <xdr:cNvGrpSpPr/>
      </xdr:nvGrpSpPr>
      <xdr:grpSpPr>
        <a:xfrm>
          <a:off x="2667000" y="24669750"/>
          <a:ext cx="3048000" cy="2095500"/>
          <a:chOff x="2667000" y="24669750"/>
          <a:chExt cx="3048000" cy="2095500"/>
        </a:xfrm>
      </xdr:grpSpPr>
      <xdr:grpSp>
        <xdr:nvGrpSpPr>
          <xdr:cNvPr id="497" name="big_message_bcg#spriteTOP" title="big_message_bcg#sprite">
            <a:extLst>
              <a:ext uri="{FF2B5EF4-FFF2-40B4-BE49-F238E27FC236}">
                <a16:creationId xmlns:a16="http://schemas.microsoft.com/office/drawing/2014/main" id="{00000000-0008-0000-0000-0000F1010000}"/>
              </a:ext>
            </a:extLst>
          </xdr:cNvPr>
          <xdr:cNvGrpSpPr/>
        </xdr:nvGrpSpPr>
        <xdr:grpSpPr>
          <a:xfrm>
            <a:off x="2762250" y="24765000"/>
            <a:ext cx="2857501" cy="1905000"/>
            <a:chOff x="6109146" y="2550914"/>
            <a:chExt cx="1660534" cy="2083594"/>
          </a:xfrm>
        </xdr:grpSpPr>
        <xdr:sp macro="" textlink="">
          <xdr:nvSpPr>
            <xdr:cNvPr id="503" name="object">
              <a:extLst>
                <a:ext uri="{FF2B5EF4-FFF2-40B4-BE49-F238E27FC236}">
                  <a16:creationId xmlns:a16="http://schemas.microsoft.com/office/drawing/2014/main" id="{00000000-0008-0000-0000-0000F7010000}"/>
                </a:ext>
              </a:extLst>
            </xdr:cNvPr>
            <xdr:cNvSpPr/>
          </xdr:nvSpPr>
          <xdr:spPr>
            <a:xfrm>
              <a:off x="6164497" y="2655093"/>
              <a:ext cx="1549831" cy="1875236"/>
            </a:xfrm>
            <a:custGeom>
              <a:avLst/>
              <a:gdLst>
                <a:gd name="connsiteX0" fmla="*/ 0 w 2983230"/>
                <a:gd name="connsiteY0" fmla="*/ 0 h 2090057"/>
                <a:gd name="connsiteX1" fmla="*/ 0 w 2983230"/>
                <a:gd name="connsiteY1" fmla="*/ 0 h 2090057"/>
                <a:gd name="connsiteX2" fmla="*/ 2983230 w 2983230"/>
                <a:gd name="connsiteY2" fmla="*/ 0 h 2090057"/>
                <a:gd name="connsiteX3" fmla="*/ 2983230 w 2983230"/>
                <a:gd name="connsiteY3" fmla="*/ 0 h 2090057"/>
                <a:gd name="connsiteX4" fmla="*/ 2983230 w 2983230"/>
                <a:gd name="connsiteY4" fmla="*/ 2090057 h 2090057"/>
                <a:gd name="connsiteX5" fmla="*/ 2983230 w 2983230"/>
                <a:gd name="connsiteY5" fmla="*/ 2090057 h 2090057"/>
                <a:gd name="connsiteX6" fmla="*/ 0 w 2983230"/>
                <a:gd name="connsiteY6" fmla="*/ 2090057 h 2090057"/>
                <a:gd name="connsiteX7" fmla="*/ 0 w 2983230"/>
                <a:gd name="connsiteY7" fmla="*/ 2090057 h 2090057"/>
                <a:gd name="connsiteX8" fmla="*/ 0 w 2983230"/>
                <a:gd name="connsiteY8" fmla="*/ 0 h 2090057"/>
                <a:gd name="connsiteX0" fmla="*/ 201930 w 2983230"/>
                <a:gd name="connsiteY0" fmla="*/ 549728 h 2090057"/>
                <a:gd name="connsiteX1" fmla="*/ 0 w 2983230"/>
                <a:gd name="connsiteY1" fmla="*/ 0 h 2090057"/>
                <a:gd name="connsiteX2" fmla="*/ 2983230 w 2983230"/>
                <a:gd name="connsiteY2" fmla="*/ 0 h 2090057"/>
                <a:gd name="connsiteX3" fmla="*/ 2983230 w 2983230"/>
                <a:gd name="connsiteY3" fmla="*/ 0 h 2090057"/>
                <a:gd name="connsiteX4" fmla="*/ 2983230 w 2983230"/>
                <a:gd name="connsiteY4" fmla="*/ 2090057 h 2090057"/>
                <a:gd name="connsiteX5" fmla="*/ 2983230 w 2983230"/>
                <a:gd name="connsiteY5" fmla="*/ 2090057 h 2090057"/>
                <a:gd name="connsiteX6" fmla="*/ 0 w 2983230"/>
                <a:gd name="connsiteY6" fmla="*/ 2090057 h 2090057"/>
                <a:gd name="connsiteX7" fmla="*/ 0 w 2983230"/>
                <a:gd name="connsiteY7" fmla="*/ 2090057 h 2090057"/>
                <a:gd name="connsiteX8" fmla="*/ 201930 w 2983230"/>
                <a:gd name="connsiteY8" fmla="*/ 549728 h 2090057"/>
                <a:gd name="connsiteX0" fmla="*/ 0 w 2983230"/>
                <a:gd name="connsiteY0" fmla="*/ 2090057 h 2090057"/>
                <a:gd name="connsiteX1" fmla="*/ 0 w 2983230"/>
                <a:gd name="connsiteY1" fmla="*/ 0 h 2090057"/>
                <a:gd name="connsiteX2" fmla="*/ 2983230 w 2983230"/>
                <a:gd name="connsiteY2" fmla="*/ 0 h 2090057"/>
                <a:gd name="connsiteX3" fmla="*/ 2983230 w 2983230"/>
                <a:gd name="connsiteY3" fmla="*/ 0 h 2090057"/>
                <a:gd name="connsiteX4" fmla="*/ 2983230 w 2983230"/>
                <a:gd name="connsiteY4" fmla="*/ 2090057 h 2090057"/>
                <a:gd name="connsiteX5" fmla="*/ 2983230 w 2983230"/>
                <a:gd name="connsiteY5" fmla="*/ 2090057 h 2090057"/>
                <a:gd name="connsiteX6" fmla="*/ 0 w 2983230"/>
                <a:gd name="connsiteY6" fmla="*/ 2090057 h 2090057"/>
                <a:gd name="connsiteX7" fmla="*/ 0 w 2983230"/>
                <a:gd name="connsiteY7" fmla="*/ 2090057 h 20900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983230" h="2090057">
                  <a:moveTo>
                    <a:pt x="0" y="2090057"/>
                  </a:moveTo>
                  <a:lnTo>
                    <a:pt x="0" y="0"/>
                  </a:lnTo>
                  <a:lnTo>
                    <a:pt x="2983230" y="0"/>
                  </a:lnTo>
                  <a:lnTo>
                    <a:pt x="2983230" y="0"/>
                  </a:lnTo>
                  <a:lnTo>
                    <a:pt x="2983230" y="2090057"/>
                  </a:lnTo>
                  <a:lnTo>
                    <a:pt x="2983230" y="2090057"/>
                  </a:lnTo>
                  <a:lnTo>
                    <a:pt x="0" y="2090057"/>
                  </a:lnTo>
                  <a:lnTo>
                    <a:pt x="0" y="2090057"/>
                  </a:lnTo>
                  <a:close/>
                </a:path>
              </a:pathLst>
            </a:custGeom>
            <a:solidFill>
              <a:srgbClr val="655F5F">
                <a:alpha val="87000"/>
              </a:srgbClr>
            </a:solidFill>
            <a:ln w="381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800">
                <a:solidFill>
                  <a:schemeClr val="accent2">
                    <a:lumMod val="5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04" name="big_message_bcg#sprite" descr="objects[obj_name].x=$x;&#10;objects[obj_name].y=$y;&#10;objects[obj_name].base_tint=objects[obj_name].tint;##png" title="big_message_bcg#sprite">
              <a:extLst>
                <a:ext uri="{FF2B5EF4-FFF2-40B4-BE49-F238E27FC236}">
                  <a16:creationId xmlns:a16="http://schemas.microsoft.com/office/drawing/2014/main" id="{00000000-0008-0000-0000-0000F8010000}"/>
                </a:ext>
              </a:extLst>
            </xdr:cNvPr>
            <xdr:cNvSpPr/>
          </xdr:nvSpPr>
          <xdr:spPr>
            <a:xfrm>
              <a:off x="6109146" y="2550914"/>
              <a:ext cx="1660534" cy="2083594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98" name="big_message_text#block" descr="objects[obj_name]=new PIXI.BitmapText('', {fontName: 'Century Gothic',fontSize: 25, align: 'center'});&#10;objects[obj_name].anchor.set(0.5,0,5);&#10;objects[obj_name].maxWidth=270;&#10;objects[obj_name].x=$x;&#10;objects[obj_name].y=$y;&#10;objects[obj_name].base_tint=objects[obj_name].tint=$col;#&#10;&#10;#png" title="big_message_text#block">
            <a:extLst>
              <a:ext uri="{FF2B5EF4-FFF2-40B4-BE49-F238E27FC236}">
                <a16:creationId xmlns:a16="http://schemas.microsoft.com/office/drawing/2014/main" id="{00000000-0008-0000-0000-0000F2010000}"/>
              </a:ext>
            </a:extLst>
          </xdr:cNvPr>
          <xdr:cNvSpPr/>
        </xdr:nvSpPr>
        <xdr:spPr>
          <a:xfrm>
            <a:off x="2952750" y="24955500"/>
            <a:ext cx="2476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СООБЩЕНИЕ</a:t>
            </a:r>
          </a:p>
        </xdr:txBody>
      </xdr:sp>
      <xdr:sp macro="" textlink="">
        <xdr:nvSpPr>
          <xdr:cNvPr id="499" name="big_message_cont#cont" descr="objects[obj_name]=new PIXI.Container();&#10;objects[obj_name].visible=false;&#10;objects[obj_name].x=objects[obj_name].sx=$x;&#10;objects[obj_name].y=objects[obj_name].sy=$y;&#10;&#10;objects[obj_name].show=function(){this.children.forEach(c=&gt;{c.alpha=1;c.tint=c.base_tint})};#objects[obj_name].addChild(objects.big_message_bcg);&#10;objects[obj_name].addChild(objects.big_message_text);&#10;objects[obj_name].addChild(objects.close_big_message);&#10;objects[obj_name].addChild(objects.big_message_text2);&#10;app.stage.addChild(objects[obj_name]);#png" title="big_message_cont#cont">
            <a:extLst>
              <a:ext uri="{FF2B5EF4-FFF2-40B4-BE49-F238E27FC236}">
                <a16:creationId xmlns:a16="http://schemas.microsoft.com/office/drawing/2014/main" id="{00000000-0008-0000-0000-0000F3010000}"/>
              </a:ext>
            </a:extLst>
          </xdr:cNvPr>
          <xdr:cNvSpPr/>
        </xdr:nvSpPr>
        <xdr:spPr>
          <a:xfrm>
            <a:off x="2667000" y="24669750"/>
            <a:ext cx="3048000" cy="2095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00" name="close_big_message#spriteTOP" title="close_big_message#sprite">
            <a:extLst>
              <a:ext uri="{FF2B5EF4-FFF2-40B4-BE49-F238E27FC236}">
                <a16:creationId xmlns:a16="http://schemas.microsoft.com/office/drawing/2014/main" id="{00000000-0008-0000-0000-0000F4010000}"/>
              </a:ext>
            </a:extLst>
          </xdr:cNvPr>
          <xdr:cNvGrpSpPr/>
        </xdr:nvGrpSpPr>
        <xdr:grpSpPr>
          <a:xfrm>
            <a:off x="3609975" y="26069925"/>
            <a:ext cx="1143000" cy="476250"/>
            <a:chOff x="15049500" y="4238626"/>
            <a:chExt cx="1143000" cy="476250"/>
          </a:xfrm>
        </xdr:grpSpPr>
        <xdr:sp macro="" textlink="">
          <xdr:nvSpPr>
            <xdr:cNvPr id="501" name="close_big_message#sprite" descr="objects[obj_name].buttonMode=true;&#10;objects[obj_name].interactive=true;&#10;objects[obj_name].x=$x;&#10;objects[obj_name].y=$y;&#10;objects[obj_name].base_tint=objects[obj_name].tint;&#10;objects[obj_name].pointerover=function(){this.tint=0x55ffff};&#10;objects[obj_name].pointerout=function(){this.tint=this.base_tint};&#10;objects[obj_name].pointerdown=function(){big_message.close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F5010000}"/>
                </a:ext>
              </a:extLst>
            </xdr:cNvPr>
            <xdr:cNvSpPr/>
          </xdr:nvSpPr>
          <xdr:spPr>
            <a:xfrm>
              <a:off x="15049500" y="4238626"/>
              <a:ext cx="1143000" cy="476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02" name="object">
              <a:extLst>
                <a:ext uri="{FF2B5EF4-FFF2-40B4-BE49-F238E27FC236}">
                  <a16:creationId xmlns:a16="http://schemas.microsoft.com/office/drawing/2014/main" id="{00000000-0008-0000-0000-0000F6010000}"/>
                </a:ext>
              </a:extLst>
            </xdr:cNvPr>
            <xdr:cNvSpPr/>
          </xdr:nvSpPr>
          <xdr:spPr>
            <a:xfrm>
              <a:off x="15144750" y="4333875"/>
              <a:ext cx="952500" cy="285750"/>
            </a:xfrm>
            <a:prstGeom prst="roundRect">
              <a:avLst>
                <a:gd name="adj" fmla="val 18690"/>
              </a:avLst>
            </a:prstGeom>
            <a:solidFill>
              <a:schemeClr val="bg2">
                <a:lumMod val="75000"/>
              </a:scheme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OK</a:t>
              </a:r>
              <a:endParaRPr lang="ru-RU" sz="1600" b="1"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1024" name="big_message_text2#block" descr="objects[obj_name]=new PIXI.BitmapText('------', {fontName: 'Century Gothic',fontSize: 28, align: 'center'});&#10;objects[obj_name].anchor.set(0.5,0,5);&#10;objects[obj_name].maxWidth=270;&#10;objects[obj_name].x=$x;&#10;objects[obj_name].y=$y;&#10;objects[obj_name].base_tint=objects[obj_name].tint=$col;#&#10;&#10;#png" title="big_message_text2#block">
            <a:extLst>
              <a:ext uri="{FF2B5EF4-FFF2-40B4-BE49-F238E27FC236}">
                <a16:creationId xmlns:a16="http://schemas.microsoft.com/office/drawing/2014/main" id="{00000000-0008-0000-0000-000000040000}"/>
              </a:ext>
            </a:extLst>
          </xdr:cNvPr>
          <xdr:cNvSpPr/>
        </xdr:nvSpPr>
        <xdr:spPr>
          <a:xfrm>
            <a:off x="2943225" y="25717500"/>
            <a:ext cx="2476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СООБЩЕНИЕ</a:t>
            </a:r>
            <a:r>
              <a:rPr lang="en-US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23</a:t>
            </a:r>
            <a:endParaRPr lang="ru-RU" sz="1100" b="1" cap="none" spc="0">
              <a:ln>
                <a:noFill/>
              </a:ln>
              <a:solidFill>
                <a:srgbClr val="FFC000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73</xdr:col>
      <xdr:colOff>57150</xdr:colOff>
      <xdr:row>134</xdr:row>
      <xdr:rowOff>19050</xdr:rowOff>
    </xdr:from>
    <xdr:to>
      <xdr:col>84</xdr:col>
      <xdr:colOff>66675</xdr:colOff>
      <xdr:row>148</xdr:row>
      <xdr:rowOff>19050</xdr:rowOff>
    </xdr:to>
    <xdr:grpSp>
      <xdr:nvGrpSpPr>
        <xdr:cNvPr id="1314" name="back_button#spriteTOP" title="back_button#sprite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GrpSpPr/>
      </xdr:nvGrpSpPr>
      <xdr:grpSpPr>
        <a:xfrm>
          <a:off x="7010400" y="12782550"/>
          <a:ext cx="1057275" cy="1333500"/>
          <a:chOff x="12277725" y="3238500"/>
          <a:chExt cx="1057275" cy="1333500"/>
        </a:xfrm>
      </xdr:grpSpPr>
      <xdr:sp macro="" textlink="">
        <xdr:nvSpPr>
          <xdr:cNvPr id="672" name="object">
            <a:extLst>
              <a:ext uri="{FF2B5EF4-FFF2-40B4-BE49-F238E27FC236}">
                <a16:creationId xmlns:a16="http://schemas.microsoft.com/office/drawing/2014/main" id="{00000000-0008-0000-0000-0000A0020000}"/>
              </a:ext>
            </a:extLst>
          </xdr:cNvPr>
          <xdr:cNvSpPr/>
        </xdr:nvSpPr>
        <xdr:spPr>
          <a:xfrm>
            <a:off x="12506324" y="3313641"/>
            <a:ext cx="571501" cy="582083"/>
          </a:xfrm>
          <a:custGeom>
            <a:avLst/>
            <a:gdLst>
              <a:gd name="connsiteX0" fmla="*/ 0 w 571500"/>
              <a:gd name="connsiteY0" fmla="*/ 95252 h 571500"/>
              <a:gd name="connsiteX1" fmla="*/ 95252 w 571500"/>
              <a:gd name="connsiteY1" fmla="*/ 0 h 571500"/>
              <a:gd name="connsiteX2" fmla="*/ 476248 w 571500"/>
              <a:gd name="connsiteY2" fmla="*/ 0 h 571500"/>
              <a:gd name="connsiteX3" fmla="*/ 571500 w 571500"/>
              <a:gd name="connsiteY3" fmla="*/ 95252 h 571500"/>
              <a:gd name="connsiteX4" fmla="*/ 571500 w 571500"/>
              <a:gd name="connsiteY4" fmla="*/ 476248 h 571500"/>
              <a:gd name="connsiteX5" fmla="*/ 476248 w 571500"/>
              <a:gd name="connsiteY5" fmla="*/ 571500 h 571500"/>
              <a:gd name="connsiteX6" fmla="*/ 95252 w 571500"/>
              <a:gd name="connsiteY6" fmla="*/ 571500 h 571500"/>
              <a:gd name="connsiteX7" fmla="*/ 0 w 571500"/>
              <a:gd name="connsiteY7" fmla="*/ 476248 h 571500"/>
              <a:gd name="connsiteX8" fmla="*/ 0 w 571500"/>
              <a:gd name="connsiteY8" fmla="*/ 95252 h 571500"/>
              <a:gd name="connsiteX0" fmla="*/ 0 w 571500"/>
              <a:gd name="connsiteY0" fmla="*/ 95252 h 571500"/>
              <a:gd name="connsiteX1" fmla="*/ 476248 w 571500"/>
              <a:gd name="connsiteY1" fmla="*/ 0 h 571500"/>
              <a:gd name="connsiteX2" fmla="*/ 571500 w 571500"/>
              <a:gd name="connsiteY2" fmla="*/ 95252 h 571500"/>
              <a:gd name="connsiteX3" fmla="*/ 571500 w 571500"/>
              <a:gd name="connsiteY3" fmla="*/ 476248 h 571500"/>
              <a:gd name="connsiteX4" fmla="*/ 476248 w 571500"/>
              <a:gd name="connsiteY4" fmla="*/ 571500 h 571500"/>
              <a:gd name="connsiteX5" fmla="*/ 95252 w 571500"/>
              <a:gd name="connsiteY5" fmla="*/ 571500 h 571500"/>
              <a:gd name="connsiteX6" fmla="*/ 0 w 571500"/>
              <a:gd name="connsiteY6" fmla="*/ 476248 h 571500"/>
              <a:gd name="connsiteX7" fmla="*/ 0 w 571500"/>
              <a:gd name="connsiteY7" fmla="*/ 95252 h 571500"/>
              <a:gd name="connsiteX0" fmla="*/ 56444 w 627944"/>
              <a:gd name="connsiteY0" fmla="*/ 96926 h 573174"/>
              <a:gd name="connsiteX1" fmla="*/ 532692 w 627944"/>
              <a:gd name="connsiteY1" fmla="*/ 1674 h 573174"/>
              <a:gd name="connsiteX2" fmla="*/ 627944 w 627944"/>
              <a:gd name="connsiteY2" fmla="*/ 96926 h 573174"/>
              <a:gd name="connsiteX3" fmla="*/ 627944 w 627944"/>
              <a:gd name="connsiteY3" fmla="*/ 477922 h 573174"/>
              <a:gd name="connsiteX4" fmla="*/ 532692 w 627944"/>
              <a:gd name="connsiteY4" fmla="*/ 573174 h 573174"/>
              <a:gd name="connsiteX5" fmla="*/ 151696 w 627944"/>
              <a:gd name="connsiteY5" fmla="*/ 573174 h 573174"/>
              <a:gd name="connsiteX6" fmla="*/ 56444 w 627944"/>
              <a:gd name="connsiteY6" fmla="*/ 477922 h 573174"/>
              <a:gd name="connsiteX7" fmla="*/ 56444 w 627944"/>
              <a:gd name="connsiteY7" fmla="*/ 96926 h 573174"/>
              <a:gd name="connsiteX0" fmla="*/ 106269 w 572994"/>
              <a:gd name="connsiteY0" fmla="*/ 89635 h 575408"/>
              <a:gd name="connsiteX1" fmla="*/ 477742 w 572994"/>
              <a:gd name="connsiteY1" fmla="*/ 3908 h 575408"/>
              <a:gd name="connsiteX2" fmla="*/ 572994 w 572994"/>
              <a:gd name="connsiteY2" fmla="*/ 99160 h 575408"/>
              <a:gd name="connsiteX3" fmla="*/ 572994 w 572994"/>
              <a:gd name="connsiteY3" fmla="*/ 480156 h 575408"/>
              <a:gd name="connsiteX4" fmla="*/ 477742 w 572994"/>
              <a:gd name="connsiteY4" fmla="*/ 575408 h 575408"/>
              <a:gd name="connsiteX5" fmla="*/ 96746 w 572994"/>
              <a:gd name="connsiteY5" fmla="*/ 575408 h 575408"/>
              <a:gd name="connsiteX6" fmla="*/ 1494 w 572994"/>
              <a:gd name="connsiteY6" fmla="*/ 480156 h 575408"/>
              <a:gd name="connsiteX7" fmla="*/ 106269 w 572994"/>
              <a:gd name="connsiteY7" fmla="*/ 89635 h 575408"/>
              <a:gd name="connsiteX0" fmla="*/ 112645 w 579370"/>
              <a:gd name="connsiteY0" fmla="*/ 89635 h 575408"/>
              <a:gd name="connsiteX1" fmla="*/ 484118 w 579370"/>
              <a:gd name="connsiteY1" fmla="*/ 3908 h 575408"/>
              <a:gd name="connsiteX2" fmla="*/ 579370 w 579370"/>
              <a:gd name="connsiteY2" fmla="*/ 99160 h 575408"/>
              <a:gd name="connsiteX3" fmla="*/ 579370 w 579370"/>
              <a:gd name="connsiteY3" fmla="*/ 480156 h 575408"/>
              <a:gd name="connsiteX4" fmla="*/ 484118 w 579370"/>
              <a:gd name="connsiteY4" fmla="*/ 575408 h 575408"/>
              <a:gd name="connsiteX5" fmla="*/ 103122 w 579370"/>
              <a:gd name="connsiteY5" fmla="*/ 575408 h 575408"/>
              <a:gd name="connsiteX6" fmla="*/ 7870 w 579370"/>
              <a:gd name="connsiteY6" fmla="*/ 480156 h 575408"/>
              <a:gd name="connsiteX7" fmla="*/ 17395 w 579370"/>
              <a:gd name="connsiteY7" fmla="*/ 175358 h 575408"/>
              <a:gd name="connsiteX8" fmla="*/ 112645 w 579370"/>
              <a:gd name="connsiteY8" fmla="*/ 89635 h 575408"/>
              <a:gd name="connsiteX0" fmla="*/ 108128 w 574853"/>
              <a:gd name="connsiteY0" fmla="*/ 85727 h 571500"/>
              <a:gd name="connsiteX1" fmla="*/ 479601 w 574853"/>
              <a:gd name="connsiteY1" fmla="*/ 0 h 571500"/>
              <a:gd name="connsiteX2" fmla="*/ 574853 w 574853"/>
              <a:gd name="connsiteY2" fmla="*/ 95252 h 571500"/>
              <a:gd name="connsiteX3" fmla="*/ 574853 w 574853"/>
              <a:gd name="connsiteY3" fmla="*/ 476248 h 571500"/>
              <a:gd name="connsiteX4" fmla="*/ 479601 w 574853"/>
              <a:gd name="connsiteY4" fmla="*/ 571500 h 571500"/>
              <a:gd name="connsiteX5" fmla="*/ 98605 w 574853"/>
              <a:gd name="connsiteY5" fmla="*/ 571500 h 571500"/>
              <a:gd name="connsiteX6" fmla="*/ 3353 w 574853"/>
              <a:gd name="connsiteY6" fmla="*/ 476248 h 571500"/>
              <a:gd name="connsiteX7" fmla="*/ 41453 w 574853"/>
              <a:gd name="connsiteY7" fmla="*/ 190500 h 571500"/>
              <a:gd name="connsiteX8" fmla="*/ 108128 w 574853"/>
              <a:gd name="connsiteY8" fmla="*/ 85727 h 571500"/>
              <a:gd name="connsiteX0" fmla="*/ 136703 w 574853"/>
              <a:gd name="connsiteY0" fmla="*/ 14111 h 585611"/>
              <a:gd name="connsiteX1" fmla="*/ 479601 w 574853"/>
              <a:gd name="connsiteY1" fmla="*/ 14111 h 585611"/>
              <a:gd name="connsiteX2" fmla="*/ 574853 w 574853"/>
              <a:gd name="connsiteY2" fmla="*/ 109363 h 585611"/>
              <a:gd name="connsiteX3" fmla="*/ 574853 w 574853"/>
              <a:gd name="connsiteY3" fmla="*/ 490359 h 585611"/>
              <a:gd name="connsiteX4" fmla="*/ 479601 w 574853"/>
              <a:gd name="connsiteY4" fmla="*/ 585611 h 585611"/>
              <a:gd name="connsiteX5" fmla="*/ 98605 w 574853"/>
              <a:gd name="connsiteY5" fmla="*/ 585611 h 585611"/>
              <a:gd name="connsiteX6" fmla="*/ 3353 w 574853"/>
              <a:gd name="connsiteY6" fmla="*/ 490359 h 585611"/>
              <a:gd name="connsiteX7" fmla="*/ 41453 w 574853"/>
              <a:gd name="connsiteY7" fmla="*/ 204611 h 585611"/>
              <a:gd name="connsiteX8" fmla="*/ 136703 w 574853"/>
              <a:gd name="connsiteY8" fmla="*/ 14111 h 585611"/>
              <a:gd name="connsiteX0" fmla="*/ 136703 w 574853"/>
              <a:gd name="connsiteY0" fmla="*/ 0 h 571500"/>
              <a:gd name="connsiteX1" fmla="*/ 479601 w 574853"/>
              <a:gd name="connsiteY1" fmla="*/ 0 h 571500"/>
              <a:gd name="connsiteX2" fmla="*/ 574853 w 574853"/>
              <a:gd name="connsiteY2" fmla="*/ 95252 h 571500"/>
              <a:gd name="connsiteX3" fmla="*/ 574853 w 574853"/>
              <a:gd name="connsiteY3" fmla="*/ 476248 h 571500"/>
              <a:gd name="connsiteX4" fmla="*/ 479601 w 574853"/>
              <a:gd name="connsiteY4" fmla="*/ 571500 h 571500"/>
              <a:gd name="connsiteX5" fmla="*/ 98605 w 574853"/>
              <a:gd name="connsiteY5" fmla="*/ 571500 h 571500"/>
              <a:gd name="connsiteX6" fmla="*/ 3353 w 574853"/>
              <a:gd name="connsiteY6" fmla="*/ 476248 h 571500"/>
              <a:gd name="connsiteX7" fmla="*/ 41453 w 574853"/>
              <a:gd name="connsiteY7" fmla="*/ 190500 h 571500"/>
              <a:gd name="connsiteX8" fmla="*/ 136703 w 574853"/>
              <a:gd name="connsiteY8" fmla="*/ 0 h 571500"/>
              <a:gd name="connsiteX0" fmla="*/ 133350 w 571500"/>
              <a:gd name="connsiteY0" fmla="*/ 0 h 571500"/>
              <a:gd name="connsiteX1" fmla="*/ 476248 w 571500"/>
              <a:gd name="connsiteY1" fmla="*/ 0 h 571500"/>
              <a:gd name="connsiteX2" fmla="*/ 571500 w 571500"/>
              <a:gd name="connsiteY2" fmla="*/ 95252 h 571500"/>
              <a:gd name="connsiteX3" fmla="*/ 571500 w 571500"/>
              <a:gd name="connsiteY3" fmla="*/ 476248 h 571500"/>
              <a:gd name="connsiteX4" fmla="*/ 476248 w 571500"/>
              <a:gd name="connsiteY4" fmla="*/ 571500 h 571500"/>
              <a:gd name="connsiteX5" fmla="*/ 95252 w 571500"/>
              <a:gd name="connsiteY5" fmla="*/ 571500 h 571500"/>
              <a:gd name="connsiteX6" fmla="*/ 0 w 571500"/>
              <a:gd name="connsiteY6" fmla="*/ 476248 h 571500"/>
              <a:gd name="connsiteX7" fmla="*/ 38100 w 571500"/>
              <a:gd name="connsiteY7" fmla="*/ 190500 h 571500"/>
              <a:gd name="connsiteX8" fmla="*/ 133350 w 571500"/>
              <a:gd name="connsiteY8" fmla="*/ 0 h 571500"/>
              <a:gd name="connsiteX0" fmla="*/ 133350 w 571500"/>
              <a:gd name="connsiteY0" fmla="*/ 14111 h 585611"/>
              <a:gd name="connsiteX1" fmla="*/ 476248 w 571500"/>
              <a:gd name="connsiteY1" fmla="*/ 14111 h 585611"/>
              <a:gd name="connsiteX2" fmla="*/ 571500 w 571500"/>
              <a:gd name="connsiteY2" fmla="*/ 109363 h 585611"/>
              <a:gd name="connsiteX3" fmla="*/ 571500 w 571500"/>
              <a:gd name="connsiteY3" fmla="*/ 490359 h 585611"/>
              <a:gd name="connsiteX4" fmla="*/ 476248 w 571500"/>
              <a:gd name="connsiteY4" fmla="*/ 585611 h 585611"/>
              <a:gd name="connsiteX5" fmla="*/ 95252 w 571500"/>
              <a:gd name="connsiteY5" fmla="*/ 585611 h 585611"/>
              <a:gd name="connsiteX6" fmla="*/ 0 w 571500"/>
              <a:gd name="connsiteY6" fmla="*/ 490359 h 585611"/>
              <a:gd name="connsiteX7" fmla="*/ 38099 w 571500"/>
              <a:gd name="connsiteY7" fmla="*/ 204611 h 585611"/>
              <a:gd name="connsiteX8" fmla="*/ 133350 w 571500"/>
              <a:gd name="connsiteY8" fmla="*/ 14111 h 585611"/>
              <a:gd name="connsiteX0" fmla="*/ 133350 w 571500"/>
              <a:gd name="connsiteY0" fmla="*/ 0 h 571500"/>
              <a:gd name="connsiteX1" fmla="*/ 476248 w 571500"/>
              <a:gd name="connsiteY1" fmla="*/ 0 h 571500"/>
              <a:gd name="connsiteX2" fmla="*/ 571500 w 571500"/>
              <a:gd name="connsiteY2" fmla="*/ 95252 h 571500"/>
              <a:gd name="connsiteX3" fmla="*/ 571500 w 571500"/>
              <a:gd name="connsiteY3" fmla="*/ 476248 h 571500"/>
              <a:gd name="connsiteX4" fmla="*/ 476248 w 571500"/>
              <a:gd name="connsiteY4" fmla="*/ 571500 h 571500"/>
              <a:gd name="connsiteX5" fmla="*/ 95252 w 571500"/>
              <a:gd name="connsiteY5" fmla="*/ 571500 h 571500"/>
              <a:gd name="connsiteX6" fmla="*/ 0 w 571500"/>
              <a:gd name="connsiteY6" fmla="*/ 476248 h 571500"/>
              <a:gd name="connsiteX7" fmla="*/ 38099 w 571500"/>
              <a:gd name="connsiteY7" fmla="*/ 190500 h 571500"/>
              <a:gd name="connsiteX8" fmla="*/ 133350 w 571500"/>
              <a:gd name="connsiteY8" fmla="*/ 0 h 571500"/>
              <a:gd name="connsiteX0" fmla="*/ 133351 w 571501"/>
              <a:gd name="connsiteY0" fmla="*/ 10583 h 582083"/>
              <a:gd name="connsiteX1" fmla="*/ 476249 w 571501"/>
              <a:gd name="connsiteY1" fmla="*/ 10583 h 582083"/>
              <a:gd name="connsiteX2" fmla="*/ 571501 w 571501"/>
              <a:gd name="connsiteY2" fmla="*/ 105835 h 582083"/>
              <a:gd name="connsiteX3" fmla="*/ 571501 w 571501"/>
              <a:gd name="connsiteY3" fmla="*/ 486831 h 582083"/>
              <a:gd name="connsiteX4" fmla="*/ 476249 w 571501"/>
              <a:gd name="connsiteY4" fmla="*/ 582083 h 582083"/>
              <a:gd name="connsiteX5" fmla="*/ 95253 w 571501"/>
              <a:gd name="connsiteY5" fmla="*/ 582083 h 582083"/>
              <a:gd name="connsiteX6" fmla="*/ 1 w 571501"/>
              <a:gd name="connsiteY6" fmla="*/ 486831 h 582083"/>
              <a:gd name="connsiteX7" fmla="*/ 0 w 571501"/>
              <a:gd name="connsiteY7" fmla="*/ 153458 h 582083"/>
              <a:gd name="connsiteX8" fmla="*/ 133351 w 571501"/>
              <a:gd name="connsiteY8" fmla="*/ 10583 h 5820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71501" h="582083">
                <a:moveTo>
                  <a:pt x="133351" y="10583"/>
                </a:moveTo>
                <a:cubicBezTo>
                  <a:pt x="212726" y="-13229"/>
                  <a:pt x="361950" y="10583"/>
                  <a:pt x="476249" y="10583"/>
                </a:cubicBezTo>
                <a:cubicBezTo>
                  <a:pt x="528855" y="10583"/>
                  <a:pt x="571501" y="53229"/>
                  <a:pt x="571501" y="105835"/>
                </a:cubicBezTo>
                <a:lnTo>
                  <a:pt x="571501" y="486831"/>
                </a:lnTo>
                <a:cubicBezTo>
                  <a:pt x="571501" y="539437"/>
                  <a:pt x="528855" y="582083"/>
                  <a:pt x="476249" y="582083"/>
                </a:cubicBezTo>
                <a:lnTo>
                  <a:pt x="95253" y="582083"/>
                </a:lnTo>
                <a:cubicBezTo>
                  <a:pt x="42647" y="582083"/>
                  <a:pt x="1" y="539437"/>
                  <a:pt x="1" y="486831"/>
                </a:cubicBezTo>
                <a:cubicBezTo>
                  <a:pt x="1" y="375707"/>
                  <a:pt x="0" y="264582"/>
                  <a:pt x="0" y="153458"/>
                </a:cubicBezTo>
                <a:cubicBezTo>
                  <a:pt x="17462" y="88371"/>
                  <a:pt x="53976" y="34395"/>
                  <a:pt x="133351" y="10583"/>
                </a:cubicBezTo>
                <a:close/>
              </a:path>
            </a:pathLst>
          </a:custGeom>
          <a:solidFill>
            <a:schemeClr val="tx1">
              <a:lumMod val="50000"/>
              <a:lumOff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9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3" name="object">
            <a:extLst>
              <a:ext uri="{FF2B5EF4-FFF2-40B4-BE49-F238E27FC236}">
                <a16:creationId xmlns:a16="http://schemas.microsoft.com/office/drawing/2014/main" id="{00000000-0008-0000-0000-0000A1020000}"/>
              </a:ext>
            </a:extLst>
          </xdr:cNvPr>
          <xdr:cNvSpPr/>
        </xdr:nvSpPr>
        <xdr:spPr>
          <a:xfrm>
            <a:off x="12277725" y="3857625"/>
            <a:ext cx="1057275" cy="666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i="0" u="none">
                <a:solidFill>
                  <a:schemeClr val="bg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Главное меню</a:t>
            </a:r>
          </a:p>
        </xdr:txBody>
      </xdr:sp>
      <xdr:sp macro="" textlink="">
        <xdr:nvSpPr>
          <xdr:cNvPr id="674" name="back_button#sprite" descr="objects[obj_name].x=objects[obj_name].sx=$x;&#10;objects[obj_name].y=objects[obj_name].sy=$y;&#10;objects[obj_name].visible=false;&#10;objects[obj_name].base_tint=objects[obj_name].tint;&#10;objects[obj_name].buttonMode=true;&#10;objects[obj_name].interactive=true;&#10;objects[obj_name].pointerdown=function(){cards_menu.back_button_down()};&#10;objects[obj_name].pointerover=function(){this.tint=0x55ffff};&#10;objects[obj_name].pointerout=function(){this.tint=this.base_tint};#app.stage.addChild(objects[obj_name]);#png" title="back_button#sprite">
            <a:extLst>
              <a:ext uri="{FF2B5EF4-FFF2-40B4-BE49-F238E27FC236}">
                <a16:creationId xmlns:a16="http://schemas.microsoft.com/office/drawing/2014/main" id="{00000000-0008-0000-0000-0000A2020000}"/>
              </a:ext>
            </a:extLst>
          </xdr:cNvPr>
          <xdr:cNvSpPr/>
        </xdr:nvSpPr>
        <xdr:spPr>
          <a:xfrm>
            <a:off x="12287250" y="3238500"/>
            <a:ext cx="1047750" cy="1333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76" name="object">
            <a:extLst>
              <a:ext uri="{FF2B5EF4-FFF2-40B4-BE49-F238E27FC236}">
                <a16:creationId xmlns:a16="http://schemas.microsoft.com/office/drawing/2014/main" id="{00000000-0008-0000-0000-0000A4020000}"/>
              </a:ext>
            </a:extLst>
          </xdr:cNvPr>
          <xdr:cNvSpPr/>
        </xdr:nvSpPr>
        <xdr:spPr>
          <a:xfrm>
            <a:off x="12611099" y="3448050"/>
            <a:ext cx="295276" cy="323850"/>
          </a:xfrm>
          <a:custGeom>
            <a:avLst/>
            <a:gdLst>
              <a:gd name="connsiteX0" fmla="*/ 0 w 666750"/>
              <a:gd name="connsiteY0" fmla="*/ 0 h 523875"/>
              <a:gd name="connsiteX1" fmla="*/ 666750 w 666750"/>
              <a:gd name="connsiteY1" fmla="*/ 0 h 523875"/>
              <a:gd name="connsiteX2" fmla="*/ 666750 w 666750"/>
              <a:gd name="connsiteY2" fmla="*/ 523875 h 523875"/>
              <a:gd name="connsiteX3" fmla="*/ 0 w 666750"/>
              <a:gd name="connsiteY3" fmla="*/ 523875 h 523875"/>
              <a:gd name="connsiteX4" fmla="*/ 0 w 666750"/>
              <a:gd name="connsiteY4" fmla="*/ 0 h 523875"/>
              <a:gd name="connsiteX0" fmla="*/ 0 w 666750"/>
              <a:gd name="connsiteY0" fmla="*/ 0 h 523875"/>
              <a:gd name="connsiteX1" fmla="*/ 666750 w 666750"/>
              <a:gd name="connsiteY1" fmla="*/ 523875 h 523875"/>
              <a:gd name="connsiteX2" fmla="*/ 0 w 666750"/>
              <a:gd name="connsiteY2" fmla="*/ 523875 h 523875"/>
              <a:gd name="connsiteX3" fmla="*/ 0 w 666750"/>
              <a:gd name="connsiteY3" fmla="*/ 0 h 523875"/>
              <a:gd name="connsiteX0" fmla="*/ 0 w 381000"/>
              <a:gd name="connsiteY0" fmla="*/ 0 h 523875"/>
              <a:gd name="connsiteX1" fmla="*/ 381000 w 381000"/>
              <a:gd name="connsiteY1" fmla="*/ 285750 h 523875"/>
              <a:gd name="connsiteX2" fmla="*/ 0 w 381000"/>
              <a:gd name="connsiteY2" fmla="*/ 523875 h 523875"/>
              <a:gd name="connsiteX3" fmla="*/ 0 w 381000"/>
              <a:gd name="connsiteY3" fmla="*/ 0 h 523875"/>
              <a:gd name="connsiteX0" fmla="*/ 0 w 381000"/>
              <a:gd name="connsiteY0" fmla="*/ 0 h 428625"/>
              <a:gd name="connsiteX1" fmla="*/ 381000 w 381000"/>
              <a:gd name="connsiteY1" fmla="*/ 190500 h 428625"/>
              <a:gd name="connsiteX2" fmla="*/ 0 w 381000"/>
              <a:gd name="connsiteY2" fmla="*/ 428625 h 428625"/>
              <a:gd name="connsiteX3" fmla="*/ 0 w 381000"/>
              <a:gd name="connsiteY3" fmla="*/ 0 h 428625"/>
              <a:gd name="connsiteX0" fmla="*/ 330200 w 381000"/>
              <a:gd name="connsiteY0" fmla="*/ 0 h 514350"/>
              <a:gd name="connsiteX1" fmla="*/ 381000 w 381000"/>
              <a:gd name="connsiteY1" fmla="*/ 276225 h 514350"/>
              <a:gd name="connsiteX2" fmla="*/ 0 w 381000"/>
              <a:gd name="connsiteY2" fmla="*/ 514350 h 514350"/>
              <a:gd name="connsiteX3" fmla="*/ 330200 w 381000"/>
              <a:gd name="connsiteY3" fmla="*/ 0 h 514350"/>
              <a:gd name="connsiteX0" fmla="*/ 406400 w 457200"/>
              <a:gd name="connsiteY0" fmla="*/ 0 h 276225"/>
              <a:gd name="connsiteX1" fmla="*/ 457200 w 457200"/>
              <a:gd name="connsiteY1" fmla="*/ 276225 h 276225"/>
              <a:gd name="connsiteX2" fmla="*/ 0 w 457200"/>
              <a:gd name="connsiteY2" fmla="*/ 257175 h 276225"/>
              <a:gd name="connsiteX3" fmla="*/ 406400 w 457200"/>
              <a:gd name="connsiteY3" fmla="*/ 0 h 276225"/>
              <a:gd name="connsiteX0" fmla="*/ 406400 w 444500"/>
              <a:gd name="connsiteY0" fmla="*/ 0 h 476250"/>
              <a:gd name="connsiteX1" fmla="*/ 444500 w 444500"/>
              <a:gd name="connsiteY1" fmla="*/ 476250 h 476250"/>
              <a:gd name="connsiteX2" fmla="*/ 0 w 444500"/>
              <a:gd name="connsiteY2" fmla="*/ 257175 h 476250"/>
              <a:gd name="connsiteX3" fmla="*/ 406400 w 444500"/>
              <a:gd name="connsiteY3" fmla="*/ 0 h 476250"/>
              <a:gd name="connsiteX0" fmla="*/ 495301 w 495301"/>
              <a:gd name="connsiteY0" fmla="*/ 0 h 476250"/>
              <a:gd name="connsiteX1" fmla="*/ 444500 w 495301"/>
              <a:gd name="connsiteY1" fmla="*/ 476250 h 476250"/>
              <a:gd name="connsiteX2" fmla="*/ 0 w 495301"/>
              <a:gd name="connsiteY2" fmla="*/ 257175 h 476250"/>
              <a:gd name="connsiteX3" fmla="*/ 495301 w 495301"/>
              <a:gd name="connsiteY3" fmla="*/ 0 h 476250"/>
              <a:gd name="connsiteX0" fmla="*/ 495301 w 495301"/>
              <a:gd name="connsiteY0" fmla="*/ 0 h 571500"/>
              <a:gd name="connsiteX1" fmla="*/ 495300 w 495301"/>
              <a:gd name="connsiteY1" fmla="*/ 571500 h 571500"/>
              <a:gd name="connsiteX2" fmla="*/ 0 w 495301"/>
              <a:gd name="connsiteY2" fmla="*/ 257175 h 571500"/>
              <a:gd name="connsiteX3" fmla="*/ 495301 w 495301"/>
              <a:gd name="connsiteY3" fmla="*/ 0 h 571500"/>
              <a:gd name="connsiteX0" fmla="*/ 508001 w 508001"/>
              <a:gd name="connsiteY0" fmla="*/ 0 h 571500"/>
              <a:gd name="connsiteX1" fmla="*/ 508000 w 508001"/>
              <a:gd name="connsiteY1" fmla="*/ 571500 h 571500"/>
              <a:gd name="connsiteX2" fmla="*/ 0 w 508001"/>
              <a:gd name="connsiteY2" fmla="*/ 285750 h 571500"/>
              <a:gd name="connsiteX3" fmla="*/ 508001 w 508001"/>
              <a:gd name="connsiteY3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508001" h="571500">
                <a:moveTo>
                  <a:pt x="508001" y="0"/>
                </a:moveTo>
                <a:cubicBezTo>
                  <a:pt x="508001" y="190500"/>
                  <a:pt x="508000" y="381000"/>
                  <a:pt x="508000" y="571500"/>
                </a:cubicBezTo>
                <a:lnTo>
                  <a:pt x="0" y="285750"/>
                </a:lnTo>
                <a:lnTo>
                  <a:pt x="508001" y="0"/>
                </a:ln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4</xdr:col>
      <xdr:colOff>342900</xdr:colOff>
      <xdr:row>7</xdr:row>
      <xdr:rowOff>190499</xdr:rowOff>
    </xdr:to>
    <xdr:grpSp>
      <xdr:nvGrpSpPr>
        <xdr:cNvPr id="2" name="pc_icon#imageTOP" title="pc_icon#image">
          <a:extLst>
            <a:ext uri="{FF2B5EF4-FFF2-40B4-BE49-F238E27FC236}">
              <a16:creationId xmlns:a16="http://schemas.microsoft.com/office/drawing/2014/main" id="{8142D7CF-FC05-469D-BAB4-11CBA2DE8D43}"/>
            </a:ext>
          </a:extLst>
        </xdr:cNvPr>
        <xdr:cNvGrpSpPr/>
      </xdr:nvGrpSpPr>
      <xdr:grpSpPr>
        <a:xfrm>
          <a:off x="1828800" y="571500"/>
          <a:ext cx="952500" cy="952499"/>
          <a:chOff x="3810000" y="10287000"/>
          <a:chExt cx="952500" cy="952500"/>
        </a:xfrm>
      </xdr:grpSpPr>
      <xdr:sp macro="" textlink="">
        <xdr:nvSpPr>
          <xdr:cNvPr id="3" name="pc_icon#image" descr="Кода нет, это картинка#Кода нет, это картинка#png" title="pc_icon#image">
            <a:extLst>
              <a:ext uri="{FF2B5EF4-FFF2-40B4-BE49-F238E27FC236}">
                <a16:creationId xmlns:a16="http://schemas.microsoft.com/office/drawing/2014/main" id="{C6325886-B875-4D62-A10E-3E03ECFDF690}"/>
              </a:ext>
            </a:extLst>
          </xdr:cNvPr>
          <xdr:cNvSpPr/>
        </xdr:nvSpPr>
        <xdr:spPr>
          <a:xfrm>
            <a:off x="3810000" y="10287000"/>
            <a:ext cx="952500" cy="952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4" name="object">
            <a:extLst>
              <a:ext uri="{FF2B5EF4-FFF2-40B4-BE49-F238E27FC236}">
                <a16:creationId xmlns:a16="http://schemas.microsoft.com/office/drawing/2014/main" id="{A4E45642-08B3-4B9C-8D05-9E6F5872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05250" y="10382250"/>
            <a:ext cx="752475" cy="75247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2</xdr:row>
      <xdr:rowOff>0</xdr:rowOff>
    </xdr:from>
    <xdr:to>
      <xdr:col>8</xdr:col>
      <xdr:colOff>171450</xdr:colOff>
      <xdr:row>3</xdr:row>
      <xdr:rowOff>95250</xdr:rowOff>
    </xdr:to>
    <xdr:sp macro="[0]!only_code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CDAB5DD4-D773-4CE0-A47C-4F8DFC014D0F}"/>
            </a:ext>
          </a:extLst>
        </xdr:cNvPr>
        <xdr:cNvSpPr/>
      </xdr:nvSpPr>
      <xdr:spPr>
        <a:xfrm>
          <a:off x="3048000" y="381000"/>
          <a:ext cx="2000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Penguin Attack Cyrillic" panose="02000500000000020004" pitchFamily="50" charset="0"/>
            </a:rPr>
            <a:t>СОХРАНИТЬ</a:t>
          </a:r>
          <a:r>
            <a:rPr lang="en-US" sz="1200" b="1">
              <a:latin typeface="Penguin Attack Cyrillic" panose="02000500000000020004" pitchFamily="50" charset="0"/>
            </a:rPr>
            <a:t> </a:t>
          </a:r>
          <a:r>
            <a:rPr lang="ru-RU" sz="1200" b="1">
              <a:latin typeface="Penguin Attack Cyrillic" panose="02000500000000020004" pitchFamily="50" charset="0"/>
            </a:rPr>
            <a:t>ТОЛКО</a:t>
          </a:r>
          <a:r>
            <a:rPr lang="ru-RU" sz="1200" b="1" baseline="0">
              <a:latin typeface="Penguin Attack Cyrillic" panose="02000500000000020004" pitchFamily="50" charset="0"/>
            </a:rPr>
            <a:t> КОД</a:t>
          </a:r>
          <a:endParaRPr lang="ru-RU" sz="1200" b="1">
            <a:latin typeface="Penguin Attack Cyrillic" panose="02000500000000020004" pitchFamily="50" charset="0"/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12</xdr:col>
      <xdr:colOff>76199</xdr:colOff>
      <xdr:row>17</xdr:row>
      <xdr:rowOff>95251</xdr:rowOff>
    </xdr:to>
    <xdr:grpSp>
      <xdr:nvGrpSpPr>
        <xdr:cNvPr id="6" name="card_bcg#imageTOP" title="card_bcg#image">
          <a:extLst>
            <a:ext uri="{FF2B5EF4-FFF2-40B4-BE49-F238E27FC236}">
              <a16:creationId xmlns:a16="http://schemas.microsoft.com/office/drawing/2014/main" id="{6CFB0E97-5B69-4002-8A35-37CE1FC68EFA}"/>
            </a:ext>
          </a:extLst>
        </xdr:cNvPr>
        <xdr:cNvGrpSpPr/>
      </xdr:nvGrpSpPr>
      <xdr:grpSpPr>
        <a:xfrm>
          <a:off x="5486400" y="1143000"/>
          <a:ext cx="1904999" cy="2190751"/>
          <a:chOff x="11811001" y="13620750"/>
          <a:chExt cx="1904999" cy="2190751"/>
        </a:xfrm>
      </xdr:grpSpPr>
      <xdr:sp macro="" textlink="">
        <xdr:nvSpPr>
          <xdr:cNvPr id="7" name="object">
            <a:extLst>
              <a:ext uri="{FF2B5EF4-FFF2-40B4-BE49-F238E27FC236}">
                <a16:creationId xmlns:a16="http://schemas.microsoft.com/office/drawing/2014/main" id="{9A97D519-14CC-4320-B8DA-6437C9ACA81C}"/>
              </a:ext>
            </a:extLst>
          </xdr:cNvPr>
          <xdr:cNvSpPr/>
        </xdr:nvSpPr>
        <xdr:spPr>
          <a:xfrm>
            <a:off x="12001499" y="13715999"/>
            <a:ext cx="1524001" cy="1524001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8" name="object">
            <a:extLst>
              <a:ext uri="{FF2B5EF4-FFF2-40B4-BE49-F238E27FC236}">
                <a16:creationId xmlns:a16="http://schemas.microsoft.com/office/drawing/2014/main" id="{2C16F461-77DE-44FF-BCD0-DAB6F8171F2E}"/>
              </a:ext>
            </a:extLst>
          </xdr:cNvPr>
          <xdr:cNvSpPr/>
        </xdr:nvSpPr>
        <xdr:spPr>
          <a:xfrm>
            <a:off x="12287247" y="13811249"/>
            <a:ext cx="952499" cy="857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9" name="card_bcg#image" descr="Кода нет, это картинка#Кода нет, это картинка#png" title="card_bcg#image">
            <a:extLst>
              <a:ext uri="{FF2B5EF4-FFF2-40B4-BE49-F238E27FC236}">
                <a16:creationId xmlns:a16="http://schemas.microsoft.com/office/drawing/2014/main" id="{726A9760-A40C-46FD-BD7B-C444E2F15257}"/>
              </a:ext>
            </a:extLst>
          </xdr:cNvPr>
          <xdr:cNvSpPr/>
        </xdr:nvSpPr>
        <xdr:spPr>
          <a:xfrm>
            <a:off x="11811001" y="13620750"/>
            <a:ext cx="1904999" cy="219075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10" name="Группа 9">
            <a:extLst>
              <a:ext uri="{FF2B5EF4-FFF2-40B4-BE49-F238E27FC236}">
                <a16:creationId xmlns:a16="http://schemas.microsoft.com/office/drawing/2014/main" id="{1D95B909-AF98-4A21-A261-BA7F1ACD59EC}"/>
              </a:ext>
            </a:extLst>
          </xdr:cNvPr>
          <xdr:cNvGrpSpPr/>
        </xdr:nvGrpSpPr>
        <xdr:grpSpPr>
          <a:xfrm>
            <a:off x="11895674" y="15335251"/>
            <a:ext cx="1698888" cy="393901"/>
            <a:chOff x="8546290" y="15322567"/>
            <a:chExt cx="1699041" cy="393683"/>
          </a:xfrm>
        </xdr:grpSpPr>
        <xdr:sp macro="" textlink="">
          <xdr:nvSpPr>
            <xdr:cNvPr id="11" name="object">
              <a:extLst>
                <a:ext uri="{FF2B5EF4-FFF2-40B4-BE49-F238E27FC236}">
                  <a16:creationId xmlns:a16="http://schemas.microsoft.com/office/drawing/2014/main" id="{9259C943-A30F-40C2-AC5B-E7AA34FA75BE}"/>
                </a:ext>
              </a:extLst>
            </xdr:cNvPr>
            <xdr:cNvSpPr/>
          </xdr:nvSpPr>
          <xdr:spPr>
            <a:xfrm>
              <a:off x="8572500" y="15433221"/>
              <a:ext cx="244078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" name="object">
              <a:extLst>
                <a:ext uri="{FF2B5EF4-FFF2-40B4-BE49-F238E27FC236}">
                  <a16:creationId xmlns:a16="http://schemas.microsoft.com/office/drawing/2014/main" id="{B2234ED3-2A21-43AB-9A45-9CEF4EE79BDD}"/>
                </a:ext>
              </a:extLst>
            </xdr:cNvPr>
            <xdr:cNvSpPr/>
          </xdr:nvSpPr>
          <xdr:spPr>
            <a:xfrm>
              <a:off x="8917783" y="15433221"/>
              <a:ext cx="246402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object">
              <a:extLst>
                <a:ext uri="{FF2B5EF4-FFF2-40B4-BE49-F238E27FC236}">
                  <a16:creationId xmlns:a16="http://schemas.microsoft.com/office/drawing/2014/main" id="{7F99600A-DC39-4014-A264-2DCFD6B666D2}"/>
                </a:ext>
              </a:extLst>
            </xdr:cNvPr>
            <xdr:cNvSpPr/>
          </xdr:nvSpPr>
          <xdr:spPr>
            <a:xfrm>
              <a:off x="9263064" y="15430499"/>
              <a:ext cx="244078" cy="285751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" name="object">
              <a:extLst>
                <a:ext uri="{FF2B5EF4-FFF2-40B4-BE49-F238E27FC236}">
                  <a16:creationId xmlns:a16="http://schemas.microsoft.com/office/drawing/2014/main" id="{9305B371-AF4B-4D02-A19B-154BF5598832}"/>
                </a:ext>
              </a:extLst>
            </xdr:cNvPr>
            <xdr:cNvSpPr/>
          </xdr:nvSpPr>
          <xdr:spPr>
            <a:xfrm>
              <a:off x="9608346" y="15433221"/>
              <a:ext cx="244078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object">
              <a:extLst>
                <a:ext uri="{FF2B5EF4-FFF2-40B4-BE49-F238E27FC236}">
                  <a16:creationId xmlns:a16="http://schemas.microsoft.com/office/drawing/2014/main" id="{4F87BC96-F391-486F-9340-96C28F6EC96B}"/>
                </a:ext>
              </a:extLst>
            </xdr:cNvPr>
            <xdr:cNvSpPr/>
          </xdr:nvSpPr>
          <xdr:spPr>
            <a:xfrm>
              <a:off x="9953629" y="15433221"/>
              <a:ext cx="244077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16" name="object">
              <a:extLst>
                <a:ext uri="{FF2B5EF4-FFF2-40B4-BE49-F238E27FC236}">
                  <a16:creationId xmlns:a16="http://schemas.microsoft.com/office/drawing/2014/main" id="{9815BFCE-75E5-4AF5-A1E1-D7E251BE88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546290" y="15430503"/>
              <a:ext cx="292523" cy="270387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17" name="object">
              <a:extLst>
                <a:ext uri="{FF2B5EF4-FFF2-40B4-BE49-F238E27FC236}">
                  <a16:creationId xmlns:a16="http://schemas.microsoft.com/office/drawing/2014/main" id="{4F495069-A793-4EAA-96B9-AF312A6C97F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46743" y="15445053"/>
              <a:ext cx="250956" cy="253388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18" name="object">
              <a:extLst>
                <a:ext uri="{FF2B5EF4-FFF2-40B4-BE49-F238E27FC236}">
                  <a16:creationId xmlns:a16="http://schemas.microsoft.com/office/drawing/2014/main" id="{7975E6B1-C4F7-4146-B0FE-26801D7A4C8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94337" y="15438437"/>
              <a:ext cx="280566" cy="259103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19" name="object">
              <a:extLst>
                <a:ext uri="{FF2B5EF4-FFF2-40B4-BE49-F238E27FC236}">
                  <a16:creationId xmlns:a16="http://schemas.microsoft.com/office/drawing/2014/main" id="{F3198E1D-D6A9-435C-B781-CE19CEE8B2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240102" y="15443511"/>
              <a:ext cx="282484" cy="26220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20" name="object">
              <a:extLst>
                <a:ext uri="{FF2B5EF4-FFF2-40B4-BE49-F238E27FC236}">
                  <a16:creationId xmlns:a16="http://schemas.microsoft.com/office/drawing/2014/main" id="{B5D8AE0B-D63E-46A7-AEBC-FAEDA4E72F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899921" y="15447685"/>
              <a:ext cx="283625" cy="263559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" textlink="">
          <xdr:nvSpPr>
            <xdr:cNvPr id="21" name="object">
              <a:extLst>
                <a:ext uri="{FF2B5EF4-FFF2-40B4-BE49-F238E27FC236}">
                  <a16:creationId xmlns:a16="http://schemas.microsoft.com/office/drawing/2014/main" id="{8C7F70A3-ED72-4C0C-9F1C-27426FEA8E82}"/>
                </a:ext>
              </a:extLst>
            </xdr:cNvPr>
            <xdr:cNvSpPr/>
          </xdr:nvSpPr>
          <xdr:spPr>
            <a:xfrm>
              <a:off x="9060657" y="15322826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2" name="object">
              <a:extLst>
                <a:ext uri="{FF2B5EF4-FFF2-40B4-BE49-F238E27FC236}">
                  <a16:creationId xmlns:a16="http://schemas.microsoft.com/office/drawing/2014/main" id="{F9049FA7-55CF-462A-BCAA-3FE0540AA108}"/>
                </a:ext>
              </a:extLst>
            </xdr:cNvPr>
            <xdr:cNvSpPr/>
          </xdr:nvSpPr>
          <xdr:spPr>
            <a:xfrm>
              <a:off x="8715375" y="15322567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3" name="object">
              <a:extLst>
                <a:ext uri="{FF2B5EF4-FFF2-40B4-BE49-F238E27FC236}">
                  <a16:creationId xmlns:a16="http://schemas.microsoft.com/office/drawing/2014/main" id="{110405F5-D782-42A0-BA78-D1F06EE0B82E}"/>
                </a:ext>
              </a:extLst>
            </xdr:cNvPr>
            <xdr:cNvSpPr/>
          </xdr:nvSpPr>
          <xdr:spPr>
            <a:xfrm>
              <a:off x="9405940" y="15323085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4" name="object">
              <a:extLst>
                <a:ext uri="{FF2B5EF4-FFF2-40B4-BE49-F238E27FC236}">
                  <a16:creationId xmlns:a16="http://schemas.microsoft.com/office/drawing/2014/main" id="{63451173-415D-4EB9-BF24-1C197E74B3E2}"/>
                </a:ext>
              </a:extLst>
            </xdr:cNvPr>
            <xdr:cNvSpPr/>
          </xdr:nvSpPr>
          <xdr:spPr>
            <a:xfrm>
              <a:off x="9751222" y="15323344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5" name="object">
              <a:extLst>
                <a:ext uri="{FF2B5EF4-FFF2-40B4-BE49-F238E27FC236}">
                  <a16:creationId xmlns:a16="http://schemas.microsoft.com/office/drawing/2014/main" id="{8F991283-4E7D-4577-81A9-A0DA565488DB}"/>
                </a:ext>
              </a:extLst>
            </xdr:cNvPr>
            <xdr:cNvSpPr/>
          </xdr:nvSpPr>
          <xdr:spPr>
            <a:xfrm>
              <a:off x="10096504" y="15323603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152400</xdr:colOff>
      <xdr:row>2</xdr:row>
      <xdr:rowOff>28575</xdr:rowOff>
    </xdr:from>
    <xdr:to>
      <xdr:col>29</xdr:col>
      <xdr:colOff>0</xdr:colOff>
      <xdr:row>7</xdr:row>
      <xdr:rowOff>9525</xdr:rowOff>
    </xdr:to>
    <xdr:sp macro="[0]!Лист2.save_templates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390900" y="409575"/>
          <a:ext cx="2133600" cy="933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17</xdr:row>
      <xdr:rowOff>0</xdr:rowOff>
    </xdr:from>
    <xdr:to>
      <xdr:col>16</xdr:col>
      <xdr:colOff>19050</xdr:colOff>
      <xdr:row>20</xdr:row>
      <xdr:rowOff>19050</xdr:rowOff>
    </xdr:to>
    <xdr:sp macro="" textlink="">
      <xdr:nvSpPr>
        <xdr:cNvPr id="3073" name="AutoShape 1" descr="data:image/png;base64,iVBORw0KGgoAAAANSUhEUgAAAyAAAAHCCAYAAAAXY63IAAAgAElEQVR4XuydB5xU5bn/n52Zndle6R2kKyBFREFUFBV7S0zMTeJNcpMbNf97k9xruiaaXjXxmp57U9TYYmwoKgpSbICAFOm9s8AubJ3Z3f/n+5x9h7PD7E7ZNrO8r58V2HnPW37nzDnP7zzP73kyLrrookaxzSJgEbAInGYINDY2yv79+4U/bbMIWAQsAhYBi0C6IZCVlSUlJSXptmypqamRDEtA0u682QVbBCwC7YTAkSNH9EZom0XAImARsAhYBNINAY/HI3369Em3ZVsCknZnzC7YImARaFcEqqqq5NixY+06ph3MImARsAhYBCwCnYVAz549JTMzs7Oma5d5rAekXWC0g1gELALpikBDQ4OGYdlmEbAIWAQsAhaBdESgsLBQcnNz02rploCk1emyi7UIWAQ6AoHDhw9LXV1dRwxtx7QIWAQsAhYBi0CHIpCOOhBLQDr0krCDWwQsAumAwPHjx4Uf2ywCFgGLgEXAIpBuCKSjDsQSkHS7yux6LQIWgXZHIBgMyqFDh9p9XDugRcAiYBGwCFgEOgOBHj16iN/v74yp2mUOS0DaBUY7iEXAIpDuCKADQQ9im0XAImARsAhYBNINgfz8fOEnXZolIOlypuw6LQIWgQ5FgExYZMSyzSJgEbAIWAQsAumGAN4PvCDp0iwBSZczZddpEbAIdCgC3AypCWKbRcAiYBGwCFgE0g2BjIwMrQfCn+nQLAFJh7Nk12gRsAh0OAK2KnqHQ2wnsAhYBCwCFoEORCCddCCWgHTghWCHtghYBNILgbKyMqmtrU2vRdvVWgQsAhYBi4BFQEQ1IOmiA+kSAsKbxmiN3xvXUbq4kOwVbxGwCHQfBCorK6W8vLz7bMjuxCJgEbAIWAROGwTSSQfSIQTk6quv1pPN4KbhFjJl4ktKSppdDHl5eeLz+SQUCglC0KVLl8qKFSvSJo7ttLmy7UYtAt0cgfr6ejlw4EA336XdnkXAImARsAh0VwTQgVAXJNVbuxIQPBh33nlnm1T4kJBvfvObmssYAK0nJNUvIbs+i0D3QoB6INQFsc0iYBGwCFgELALphgAv+amMnuqt3QnIJz7xCd14v379dO9Hjx49BQNSXRLq4G4jR47Uf7722mvy4osv6hher9cSkFS/guz6LALdDAFbFb2bnVC7HYuARcAicBohkJubK4WFhSm/43YnIIQwzJ49W2bOnKmbf+yxx+Ttt98OezOi6T/43c9+9jPtv2bNGvnLX/4SJiApj6BdoEXAItCtEKirq5PDhw93qz3ZzVgELAIWAYvA6YEAcoeePXum/GbblYCwW8gE4Qvf+973dPNvvvmm/POf/1T9R0vhVFQf/q//+i8pLi6WgwcPKhkJBALqAbHNImARsAh0NgK2KnpnI27nswhYBCwCFoH2QqBv374pH0HU7gQE8PCC3HvvvYrjxo0b5U9/+pMSipZEMRCQL37xi1JUVKRC9K997WvqAUGYbptFwCJgEehsBGxV9M5G3M5nEbAIWAQsAu2FQDrUA+lwAoIG5Ic//GGrHg0ICNqRM844Q7FHA7J48eJWvSYtnSTCv4YNGyYPPfRQ2ojYTVia20N0wQUXyJAhQ3SbVGd+7rnnlM22tyjfJA7Yvn17h80Rea7a+xxF4tedsWuvm5Mdp3UE0KlBQrp761laKqWlpd19m3Z/FgGLgEWgyxAgpPdQWVm722+tbSgd6oF0OAGprq6Wu+++W7Kzs1sMqcKA/PjHPx4mIOhAHn744XAmrHivGsYhlIu0vosWLZKXX345ppA9UpOSrIHPOFOmTBGyD5gxIQ7Lly/X5bc0Ln3J+rVu3Tp58sknlTR9+tOfloEDBzbbNp6h9957T0lCtOxgN910kxK2Rx55JCGiMmPGDLnkkktky5Yt6qnC69SR6dtaOkdsdvLkyWoM0cedttkAEUnETjfs4v0e2H5tR4CXIoRhdfc2euRIGT1iRNptk+8+nnZ+uDfWNzTo36Pdz70ejz4HvD6f+PjTJjdJu/NtF2wRSGcE1m/cKOs3bGhmByZra8aLQzrUA+kwAgLpMCFUkAJDQKKBzkPj0ksvFYxhmtGBEIZFf8Kzfv7zn8c0rDEavvOd7+gYCxculHnz5qlRHmlQMx8GOzFy7jAvyBJFyDZt2iTLli2LyxDHaB4xYoT0799fiU9k27lzp/z+979v8aFn1gxheumll+S///u/NRSNE4MBhCCWC8l4Q1atWiVPPfVUMxLCfr761a9q2BrjvPLKK3F7f2688UYZN26c7vmPf/yjzpWo9ob523KOOAcmZC/Wlwtc8I6xTxrnO52xi7Vf+3nXIXA6pONNNwLC/ZJK9TW1taeQjXivFJ4phARntRIWHO9Ytp9FwCJgEYiFwLoNG2TdBx+EbdjOKLiN3Us9kFRuHUZAvvSlL6khTePNPm/vWxOiQ0CmT5+u/XnT/YMf/EBJy8c+9jEZNWqUfOMb33DeYrUiTHdrT15//XX1gJh6IuYkEJ5z/vnnx8yRjKHPRYKxHy30iXHGjx/frOYJ6TshMbRevXqFz/uJEyc0DI21R5Ihs28IE+MhxN+7d6/85Cc/0XlNf7wUc+bM0THZF0a4wSKSePF5a1ibhUEcCH0jZA0C8oc//CEp8f9HPvKRNp0jCMh9992ny+JtJji6G+sEC/rhVsQwfOCBBxQPrplksDNepK7GLpVvDqf72ngZEZkuvLthki4EhO/picrKqF6OZM+Jub/m5eYm/NIl2TntcRYBi8Dph8D769fLuvXr1Z4ztkdHhNRHIksmLFMAPBVR7xAC4haVs2nIAG/lIQMtuZ0wPI0RCgH5/ve/rwTkX//1X9VA/spXvhJ+O9/SGCacyMwZSUD4/MILL1RDlo1Tc4R1mfH+5V/+RcaMGaPzmvbuu++eEvbkHod+6FwgWM8++2yYMJx33nk6lyEi9PnpT396SojTLbfcIqNHj9YxDPmgH+SCdRqSAbkiTG3s2LHaF4JivDtuIxqs8fy0Jvp3E5DPfe5z6gkiWQAekESzj7lJTLLniD1+97vf1WXNnz8/jGNL5xlc2Dt4pDN2qXhDsGs6iQD3CO5F3bmlOgFpFBH0OHiCo6Vwb49zw33Gn5kpOTk5nRqj3R5rt2NYBCwCqY/A++vWyZp16/T+Yl5Ed0ahbWqBUBMkVVuHEZB///d/V8OWFk8mLLf3whAQQoogIIjT77rrLiUgGJ8tGaZuLwohQRxvPCDuMCW8FBjLjOXWPJi4Yo4lpIqGZ+B///d/w8Y+IVdXXHGFHgdp+uCDDzTEyoxlCANj8fkdd9wRDp9C54FGw+zBbbwzF2/+Teiae6/sF3xIb3zPPffovgjXWrJkiV7MEBATwpQoAfnP//xP9VQZAsLYiWhA3PqdZM+Rm4CgmXn00UdbDJ0DJ/Pm8rbbbgvrhtIRu1S9Kdh1OQicDjqQVCYg3D/xenAeOqNx38vNyUnpN4adgYOdwyJgEWhfBFatWaMEhHtMJAHpSC0I9hy65FRtHUZA3FmtyLD061//utW36y0REPQjGOzE+vN2PhECgifDeF2M1oETgefj+eefD49nDG6MaR52GPo/+tGPTiFPXCjGYOfhCAl49dVX9YFltBPGreYei3A0PCEcg+Dc9I0U37OuF154IZyC2E0EDDn6zGc+I4MHD25GjPjMEBDGwPMTjwfE7amKhyRGu4jNGG05R3whjffL7YmJRoRMOJYhbyZzWjpil6o3Bbuukwh0dx1IqhIQdB6VVVVdcinmZGfHDNHtkoXZSS0CFoG0RAACsnrNmrCMwJCQjg7DYp7evXunLGYdQkAwDjH40TTQ8GiggYCNtaThgIB8/etf1z5uDwgGOx4LQrLM8fF4QDD6ISAm/u3OO+9UvQZvyhmTsaKFG0UK4jGI0UbQH88H+hEab+r/+te/6hjMEY0YGRJC+AAhRvSBjP3ud78LazTMutgjQnJDmqLhxHhoQdCfuNMbs55kPCDtRUCo22LOUSIk0ZwjiAYaHzCO1xMDFumOXcreFezCwgh0dx1IKhIQQq4gIIRfdVVDoE5Ilm0WAYuARaCtCHQVAWHdEJBEEwu1db/xHt9hBMSd1QqjHwO5tVS8bmPYEBCMWSqqkxULzUOs4oQmBIv5CFVyExBIBwQAA/e3v/2tjhVNqB0ZFrVt2zb13tD/9ttv16wCGP/f/va3lXwYEtNaml3IFVm3zj77bD0viKbxnGB4mwKMzPOrX/0qvOaWsoXhRTF6CTJmmUxhXUlA8E615Rzx5TBJC+LVorivl3TFLt4vqe3XdQjw8oAc7t21pRoB6UjywYP4/Bkz5Omnnop5OjNE9N5uSUhMqGwHi4BFIAYChoBg8xltr1uM3pEAEmKfqvexDiEggOnWY/Bvk4q3permrREQdBjoLFrzoDAHomQE67Qvf/nLaswzH6TCpOclVIfQqZbGoq8Js2Ick5GL/iZMaOnSpZodqzUSw7FGNHnZZZcp2Zk6daquDWP9F7/4hf7OGN5vvvmmPP300+GwsJYuSLeniDUgfudCNgRkz5496o2giBpvEVk/KYWjufrawwNiQufMOTIekJbWH+0csf4vfOELQsYGsEGEH+tcu9eerth15E3Hjt0+CPAdJh12Rwmg22eVyY+SSgSE+xUEJBnPBwk8Jk2eLEXFxaeAMWDAABk4eLAgyKyuqpL/d8cdcQPGMyQ7Kyvu/rajRcAiYBGIRKArCQgidO59qdg6jICQHhUSYhqEABYWDwHBiL7//vvVQCf0Kh4CgoHwqU99SgYNGnQKAXGLtI1GoqV6F/T91re+FV6nISDXXXdduE7Jf/zHf4S9HxjPl19+uRbQM+FeBQUFakBHqwvC4ii0+Le//U37gwsMNV7xOAa/IS0LFiwI1/ww5CjaRYbXhNS+kDiTBo5+HUFAWiMOnCN3kUVDEvGAGM0Q3iWTAa01t6F77cliZwpVdhV2qXhDsGs6FQE8IHhCumNLFQLCPaoiIv12vHgPHDRIvvbNb8YlHn/+2Wflmaefjndo7ZeflxfX2AkNajtbBCwCpw0CXUlAsDN5uZuKLWECgqH45z//WffSmnrfnVaXvm6PRLTjIo1hjGU3AYlVoyIy9a9bA5JIliiTypf1Q5ZMOBiGMyl68S6sXLlS079Sk6IlQhV5sjGsebu3YcMGFcAbQ90QkBUrVsjjjz8eUzzOXtA+cEGtXbtWiYw7ixTrIwQNDwiNfrwdpLEnjjGFDE0BQZMFi0ro8YjX3XuL9IC0RkBaOkdg+NGPfjScUpewO+O9aulL4x4rXbFLxRuCXdOpCPB9iqxN011wSgUCgsejorxcq5kn2gir+sbdd0t2HHoN7hkQkHVr1siWLVvinsqTkaFvEDsyW03ci7EdLQIWgbRDoCsJCGAhHUgku2lnAZwQAcFgRfuAnsJdUCXaYiM9IBAC4wGJh4BAOCAgGKMItx966KFWw3LctTBYTyQBMQL3WBoDvCgDBw5UkTkpdw0B+fznP68pX/k33gSTppe5EKq635Du3r1bIYEMuOuMGMxMHQv6mHXh9fnlL3+pe2ztQmGfxltgqpczntGFQHD+53/+p1l64VtvvVUmTZoUPk2mWrrBqT0ISFvOEeufPXu2epggavESEMTv4JWu2HXWl9zO0zYEurMOJBUICC9mqGyeaMPrfM999zWr2xTPGDz0Fi1cKC++8ELcxDLg96d0Pv149m37WAQsAl2DQFcTEO6VvFxOtZYQAcFIJAvUO++8o8Xi4k2Jy6YT9YC4CQhGKZXRW3u77tYWMJ+7+CHEydQl4U0mITfRxjLhVxAHChDOmjVLH1CQLgToEBBS9KJnMQL2aLHhRm9hiJZbbOQmbm5tCnNSAySW0N5NQAyZYi2GgECQ+Ls7wxeeD/A588wz9fpjT4Q5cf6MBybZNLzGAxLrHEWK+93niPWjk4G0slZqtLQWrsexbsKZrtil2s3Aric6At1ZB9LVBITvcXlFRUIaG+4XF8ycKdfdcIPkJFFkixdG8158Ud5ftUoOHjggDY2xVSfcywvy81M2m4z97loELAKpi0BXExCidfhJtZYQATHGJh4AMjaZIn+Rm+KB/ZGPfERDamjuyubxaECMYU1f3oabLFotGeeRug1j3JpK6Pz76quvlnPOOUfXg3aCLFRuAmVICq4qwpQQQ1988cXaHyOd+huEYNEIlcJDYvZiiEbknwaXlnI9u0PDzLrwmETLzmXGiiQgEDXOg5uARGooTG0TiJdZMxm0ICmm0GO86W8jz7W5JmKdI/A1mcjMGJBEc45Yo9FixCKrkQQkXbFLtZuBXU/LCHRXHUhXExB0H7x0SLR97vbbZUrT/TzRY+nP/Wjzpk3yi5/+VF8qxdMIdS0sKIinq+1jEbAIxEAgy5MlZ+QMl/EFZ8trZa/KobqD0tCYeBhmMkBnCHnuRHwen/QN9JOBWYOkd6CP5HhzpKahRg7VHpT9tftlQ+X6ZIY/5ZiuJiCpWpAwYQJCtiI0BYQOtZTxiJs7XgIjwiYk6YEHHog7DS8x/Y899pga4ngfMJoZzxAQdwiXW9jMm3B+qPxohN6s0VQSN7UmMJYhNm4huilUyMMQ4/z666+XCy+8UC8kwrkQmvNDM94CNwGLJz6YOSAx7AcPEl4WtwAaLwIFEFvTYWCocw6oaWJqlLAO8CGUihYt4xj7Yh9GD/Liiy8KoVhoW/DsxApNa+lbCAEx1dvbco7cxRSTISBdjZ2pFZOq+bbb5S56Gg9SWVmpoZbdrSVCQDyeRsnJrZY+fcqkojxXCgpPyJbNAxUSr7dBQiFvQvAk4/0wE1xw4YXyidtuS2g+d2fuN7+6/355f/XquMfgHg8BScVY6rg3YTtaBFIAAU+GR3pk9pQrel4lvQK95B/7n5Tt1VujEhDIAv1LMkskx5snud5c2V69TarrnUKljRF58+ifkeGRIl+RFGUWizfDK4frDsmx4NFwf1+GT3J9eTKt6HwlIMdDFTrmidBxnWtU7mglJL/d+VC7oNXVBIR7Fi/XU60lREB4YGBET5gwQdatWycPP/xw1Lf1kSl4yTw1b968VvUN0bIaYaiTcQohtcn4FOkdMGFhAMs8I0eOFNIumurrRlPB+KyLIn40vDgPPvigkgE0EsZbY+qEkPVq5syZYQKCkQ8ZYjzemBntRjwidB521AEZN26cjgcZeO655zQ9LmTHEAc+I63uk08+2aIXxO3tcROQO+64Q/r27avjRzPgIwXgxvuAZwcCEm/628gL2C2KT/YcmdhEk92L9beU4tjMH7mfdMQu1W4Gdj0tI8B3nqro3a3FS0AyMholEAjKlHPXSI8ex6TscJFUVOTKqvdGKSR+f1Dq6jITgoeHT1V1dULHmM6XzJ4tH7n11qSO5aC333pLlixaJOvXrUtoDO5VuXEI3hMa1Ha2CJxmCPg9fjX+L+kxW2rqa+WxfQ8rAYjmAYEQFGeWyGU9rpAjwTL1Xi49tkTJQrRG/wJfgczucYWcCJ2QYGNQVleslIN1B8Ld+XxmycUyKm+0LDv2jrxXsVyq66sl1BjSF9YXl14q5xROlR9u+W67nJmuJiBsIhULEiZEQDjxGM8mlAaPgvEiGA8AfajojQFJI/yKt/ymwndLnoJIAkJojiEHeA0gFL/5zW+aeQfcxjhCZIoV/tu//ZtqHSI1CWbtN998c7ggYOSV5a6STsiWISsYxjx4brjhhnAtD6OjgBAZjUe0KzUy9Sx98PA8+uijSjLuuusuJSAYOCaNL+TukUce0Xhj99u2SB2FST/LcbfddpsSCVo0ImCye5k1UgCRc2QISLzpbyP3yDkg3K6t54jrwhRlTJSAJIOdIcVcv27swJTwPDfR7Sjs2uXOZgfpNASoB8L13p1avAQEgjF67DYZMmSvvLditJw1fpPs29tTVq5wwmz9gaDU1SZGQMjUF4/+IhreN3/4w3L5nDlJn4qnnnhCXpo7N6nji4uKbEaspJCzB1kEHARG5I6SGcUXSIM0SJGvWJ7Y93fZX7cvKgHBi3FhycXqwSAsamTeKFlQ9pp6LaK1fF+BnF88Q+ob62Vz5SYZXzBB3j72phyo3R/uPqlwipxXNF1eL5svm6s2KvHAvsJ7ku3NkWt6XyfDc0bIdzd/u11OWSoQECKDjF3eLptqh0ESIiDMR8jNJz/5STV2I41wPkfsbVw9GIYQCSp/x6oY7iYgeADQWGAEkokKbwTEx2Q9MmEuJsyLdVC7A2PymmuuCROHyFAk5mAc+uDFgRTRCNvatWuXZo9iDH5uueUWGT9+vH4G4TInDmN1xIgRehxj8VaUUCp3sT8uZLwneGPwSri9JOyL1LlGBG9Cp8hehaeHi4QGIdi5c6ecOHEifJqpcUKGLpoRm5uwNPZkNC5GgG+MaIgU4WRmHcz1u9/9TtdA1i9DXGIVi4x2vbFXMmxde+21bTpH7qrwrIPrJZYWxhCWdMWuHb6/dohORIDvHDfM7tTiISA+X73k5VfJ9Te+JsuXjZHNGwfLnKsXy/Zt/WTFMkcXFwjUSW2tP25oQvX1UlER3YCIZ5C2EpC3li6VP/7+9/FMdUofxOjxeL6jDT5k6FAZPHSoPnt46VIXDEptTY3eO7Ve0+7dcujgwbh1KYlsgPpUXp9PqiorpbikRAYNGSKkGOYZtnvXLqlrykQWT9HNc6ZN02cV921sAp6TPO95xh46cED27tmjhXDbu/FcKCwq0nBIEpUMGz5cn9fHjhzRl5RgyfrNHlgfz7leffrI4CFD9PdbN2/W5APgncgLBc65popubNSXg4zF8Zl+v4weM0bT7G/euNF5aZiRIY0NDc2SK/B7atb06t1b3n377ZjQcK0MGDRIQ9m5VsCX+w/rBvN9e/bIgf37O+Raibm4NnYgvKl/oL+GSI3NO0ue3P93ORihAYEMZHr8MqlgspyRO1z+uf8p6RPoK2cXTJJXDs+TilDzkFj6+zyZMjp3jEwsmCTPHXxG0JnMKJkpi44slP21+8KrvrznlUIY1sKy16SyvjIcxpWZkSlDcobKnJ5XS54vX76/+Ttt3KlzeCoQkFQsSJgwAeFLxxcBMsAXgwEI3+FL0atXr7Dugz6EXWEMGyM5VnpZk6kKAoKXAAPUiMP79eunhIcaHORkHzt2rD4EmPcf//iHkgBuRHxRjSDbHYpkriLjCWF9HOu+UXFTYU7+JO0u5AHPClXLeWCwfo770Ic+pOFU7ocQOBjjxB1SZeblBk3FbkKv3Ma1CTsinAoChFE9ZMiQVi9646lhHEPsCC/jTT3NeEbw9hCO5o79Q4+Dp4j9RHpO4tFeRFsYN0POXVvOEZizd27i4G30RfF4zNoTO1OosrOwa5e7mx2kUxDgZUBbjOZOWWSCk8RDQEpKyuXCi5fLiRPZ8tbS8Uo0rr/pNdm6ZYAse8fJrJeVVSs1NfGneaytqxN0Ncm2thKQLZs3yw+/972kpsfwzUoypeW5558vAwYOlG1bt4rX45FAVpY+t7gX83cMyveWLQundee+WNqjh/Ts3Vv69O2r3nKeOxjg695/X/bt2yfBpiKZPXr21L78mGcV98+yw4dl04YNMnrsWL2v8twbesYZUn7smBKHvv366byrV67Usbifx2pXXXedk0Gsvl6f7/5AQPfhy8yUE8ePy/J33gm/PGMtkIaevXrpXJAf9lpTXS0b1q+XbVu26H55FhcUFqodUdKjh65V95aRoWQGXDDeR40ZI/v37pURo0ZJdU2NVBw7Jj169ZL6UEjeefNNqayq0r+zd7CCaNEXe4XnN+tbT6IZSAh7bWyUadOnqz6S5w99WMv2rVvDWdIgE5AdcKp0vRRkDq6HGRdeKPv37ZNV772n54njDx861AxLzuXMiy/WNb3y0kuxIBaulX79+8uO7dv1fCrO5loJBHT8Ze+80+xaAVswYg38nbmwF9avWSN7du9OmYKqHvFIljdbphadK2fmjZOn9j92CgHxZWTKsJxhMi5/gqw6vlK2V22TwdmDZUrRufLSweelPIKAoPXoF+gv5xSdK5srN8oHlR+obmRW6aXq6dhXuzeM+VW9rpXjoePybvnbUlPvhIESupXjzZVZpZfIkJwzxCde+dm2H8U8T/F0SAUCwrWDdjiVWsIEhMVzgzI6iGipvXhTSDYn0vUaYzuWcM+d3ckIpE1IEnPde++9p7x1MoY4XzIzjwlTGj58uIqx+f1VV12lhOXnP/952HXOfOZHLz6PJxzyxBimGjqk4emnnw57LExGKW6YGMzE1bX2Now1YiD/5S9/0X7mBsJ8zGPe4hvtCTepK6+8Ur0s3IgNBqwxmqfGfG68EKaf8e6Yi42Hzvr168UUdDShc6YAIP3ctVPiEdWbsQ0myZ4jo9MhHI0x3ESwpS+L22OWKHb6sG/ysDB+V2KXSjcDu5bWEeiO9UBaIyDoPjIzQ3LOuWtl2PBdMve5C6T8WL5keBrkxpvny47t/ZSQ0LKza6W6On4CgpHYljfkk6ZMkc/fcUfSl+yvH3xQVixfntTxbakJMv7ss9X4n/fCC+H9cy+ikOKQYcP0fo8Ry5t8jPRhZ5whQ4cNk2AopG+8IW0YvLwZ5x5PKuGtFFVsbJSRo0dLUXFx+GUZBRd5/uDZ4Bk6eepUfaYQ9obhj6eCZ3lJaamMOfNM2bNrlxKjeM7LZVdeqcY+JIbnGM8TUiJDgjCA16xapWQd70D/AQNk5KhR+nc8IxAGPDEY16wXjwRrZS14KSBbjEdEwPJ339U5MFT4/kECxk2YoERh144d6rmBpEBcwJY5165erZ/zXBk+apRgC2z44APdmyESkJilixYJ2e0gUZdcdpmSpw3r1qldcOb48XK8okKJFHjwO/qY1M3mwtHEBEVFcsFFFylh4XNwhvTt3rmzWYY3nmuXzZmj5+LVefNiXnvsB/I0/+WXlayBM9cKOONJ4ZpZtWKFYnjITxEAACAASURBVMPv8aydMXy4rnXf3r167rlGwD83L08xxkPj9hDFXEQHdiDj1HnF02VM3pny5L7mHhDIBJ9f3uNKJQ4rKpZLbX2NDM0ZJtOKp8sLB5+RY0Gn2LIhD9mebEf3UX9C3jy6RKobqqSXv7f+bn7Zy7K3Zk+4/+U958iArEHy/MFn5GjwiIZe4Y2ZVDBF52DO3v7e8pud/9MuCKQCAeFaNTrhdtlUOwySFAHhAjYkhPoSvPmmmUrfZHjiRqpvRHw+NfpjGbQmlIc3PFQKN8cyLl+oiRMnap0IY3Bv27atRaOeLzghQXhG6G/CnFatWqUCb3emIuMBMWt06yww+I3Y3GS8Ml9e9o9Rz1y8LafQC3OZlI7c2MjkxbjMBw7mx8zlNqKNBoN5aIzDHNOmTVPW+swzz4THchvohtjR16zVfV0Y0mIE96yRH0OajPGN+5o+0TKNxbrOjCu6LeeIPbEHxjJksLVrprtgFwtb+3nqIMA1hw6kO7XWCIjPF5KBgw7I9JnvyVtLJsiO7X2lvt4jfn9IbvjQq7J7V29ZvHCSNDbyFrhGqqoc3V88Ldn0u4yNkcW94Stf/3o8U0Xt8+ADD+ibZXQoiTY8F3jhk2lnT5qkBOSVF19UMqFx5xkZ+rzDKM7KzlYCAmmg35SpU3WNK5cvlyNlZXqPxHgnnIq37jwnMKQxlvFCZPp8+rYfY3/Fu+828/JPnzlTvS+8Nd+xbZt+ZrwEzN2nXz95e8mSuIozzrn6ah2Ht/BmDzxTIBUYvGtWr9ZxICOEa7G/d996KxwyxD0eQ3ri5MnqFVkwf76OBQnweb3Sf+BAGT5ihLz+6qtqYJvn9Fnjx8tZEyaoIQ3R4PlGY+7effsKxJR58EZgpEMGjJfFECsIA7gyLnvAuL949mwJ1tbK6lWrFJOLZs3SUDgIkPHOQB7eW75cf28afSFwnAu8TBj5F86apfhCjkyKafrx3MVzdOzoUd1XrMa1Aql47ZVX1GvjvlbOGDFC8gsKlICwL4gKe6quqpIVy5YpAWJunqt5+fly/owZiu2iBQvUewbp6uoGwZhefIGMzhsrT+x7tJkHhNApPBmDsgbLy4dfkrLgYV0uaXtnFF8ozxx4So4Gj4ZDpwKegKbzHZ9/tsw9+JwcqHPu04RskWnrlcMvye7qXeH+hHHNKp2tRIPsW8zXN9BfQo1B+eDEesn15cq4/PHyu52/bheYUoGAsBFIvfuldrtsrg2DJEVAmM8YncZQNm5bYzxyQ4gUUbe2TjOeick045i5DOHhT/pEGvZuAmEIEscyjslyxWbvueeeZkX63GviOHe2KsJx8MYYvUZk+l/jQTGxpIacmH6m6KDBIVKs7vb6GAJi5uIzs1dz42FcM2a0sTgXFPQzGJpK7PR1EyD3sQZX9kCfWKL6ls6hm5Qmeo7Ah7258UvEYxYLO3MdpCp2bfj+2kM7GQHi5eOtG9HJS0tqutYISGHRCbn0srfk4IESWblilJA63+Np0IxXsy9/Sw4fLpJFCyZLbW2mekAqKx1NXTwNI0jj6ZNov/nDHzTEBoO7LQ1j8qEHH0xqiJLi4qSOm3reeWoYvzx3roYoGcOavZx51llqqENAMjwemTFzphrpr7/yipIV7uvmWcC9DF3DOVOnyq6dOzWkCEOU+zdv7/HSLF+2TEJN4UQsdtZll6mnBAPdjMfvufdCGqace6688frrSnRitauvu07eeest1Y/gVaDx/MAzA8lZ/d57Wt0ewgBhxIjGk2FeMpnnNcb7eTNm6GcYzoQ38RkGNkSKvbsJCGSGkGKIA6HfXAdmD5C32VdcEX7Tb3QqkBu3VweMBg4erGsDC7wFl195ZVjDAfEjhIk58GKY56nx+kAgTGOtkCxCuAiJ27Rxo8yeM0c9KXh7DAEBG84XxIZQqIWvvRYLYuFa6d+/v8x/5RUlmOFrpYms4tWAmLIG+oKlISuR1wrhb/TBi7bm/feVqHR1y/PmyczSi1Xs/fi+R5oRkNF5Y5QgvHToBa0P4qTi9Wq9DrwmLxx8Vg7VHZK6BkdnhNfiktLL5I0jC2RfLZ6ODE2/29PfUy4uvUQWlL0uO6q3SV1DnZKQQl+RjMkbK4NzhqoWhDCsbdVbZWf1DimrOyyTC8/Rn992Iw8IOPGCHw9qqrSkCQgbMAajudjNjcAYuLG8HpEgRBrwkQa/ISnmi2gMymjzmD7MYTJ3YdzzVmb+/PmqMTHrpC9i9/POOy8cI8fnRixujPJoJ82s2e3WdK/H3GhbWiMeJETgGNHUJsFlarwTka5SM0ZLYxmRfeRNPpIARSNS7gdboufN4BLteoj3HBkCYq6hWF8Q5koEOzNuqmIXa7/289RAgLfReHq7S2uNgIwes03F5hs3DJaa6oBkZdcq+cj04xnZL9VVAdm6ZaAcOlgs+/b2kL17esUNyxGXERf3QU0dISDtUW9n3dq1WogwmZYsATEakKgEZNw4fdmF1gGDEe/Axg0bNHQI4qDPEnQjfr96SjAkCDFCj8KbbZ4hvOUmRInPeHtvRNns8fKrrpKD+/erAeomJnyGEQ0RwCDHcI7Vrr7+eg3BikZAIFiQKJ5jeCAqyss1NInnMKJ34w0we+AtP/vF4CeMic/xfqBZWfDaa0pKDAmg/ktmICBvLV6sxMQtIidk7cKLL1ZCwXwXXXKJhmRBhtzFLnkmEbKE1wODHCI655prwklPCCtfu2aNek4Q7Jt26RVXyNtLlyoZMM1N3piHcLhZjLt3r2zZtEm9J/QhRGzsWWdpyBnHL164MBbEYQ0IIVjRCAgeEEgbyQAmTpmiHj08Q2BicIbYck1BZCF16GCWvPFGMy9OzIV0UId8X75cVHKJkodIAnJjnw+p92LN8fcl25slAU+WIBAv8BVK36x+sqVykxyoOyC7qnfIlqrNQkgVmbVWV6ySLE9AAl6nf643TwZmD5Kd1dvV27G7ercWF4ScoDHJzPA5CQPQNjcGpb4xpNmzzi++QM4umCgP7fhlu+w+VTwgqSZEbxMBcZ8ZY/Ana7zGe5bdxCLeuTDIEWjPmjUrLFynDgiGBG+c3OJ5blSrV6+Wv/71r2GdgHlDH+8a4+3HXqirQrYtGiJwHhzJZlhxkyH3DdKQoJbW1d7nLplzFC9mpl807IywPtGx6N9W7Bgj3usxmfXZY1IDAe4ZyYTtpMbqT11FawTknHPXyPgJm7TeR+WJbKmqypZg0KtFB6dOW4NNrKQDz8emDYNl/bqhcW+zLQTka9/8pmoj2toef/RReeXll5Mapi0EZNDgwRqChXFsDGgMxbPGjdNwGUjA8JEjNawGQ5pnFL/HMNYQWr8/nKSDZ4WGCr3zjo4HAWEcwoz4HdermeOqa6+V7du2yQfr1p0iNEewzFv8jR98oIZzrHbNDTfIsrff1pAqM77xgKBZwahnvRMmTlQChaHBsw1D3C26V6+73y+Vx4+rMY3hzn0UrceZ48apsQyxMiFDGPc8zwk7cyeRYb2QCrwehFRBZtBsEArFnt0EhL6QkIsvvVS3iYF/5TXXqPYEwgZpQFeClhU8TOgbc7+NyN0lQmcctDd4UwiHwgNCKBTeCTCgL+eMPpBHDEDsCQhjrAZZxTNFuBYeovC10uQBweOBFwrdDOQCoTnryc3P1xA9rgV/k95RQ9t8Pt0LxPTokSOxpu/wz0mXe0npbBmcPUTrgLizYF3f+yaBoCAUr6w/IbUNdRJsrFNSQmgU4VTH64+rrmPJ0UUyRwsa9paKUIVmtUIvUtdYp/VD0HVQA4Q0vsyxoGx+zL2R9ndi4WS5f1tyLygiJ0gVAsK1SBhWqrR2IyCpsqFo6zDhQZAQ0uNGCrTNMdzoEM+/9dZbYQ1LR5EPY/S6s1ehT6EQYWvpZ1MZ585cG+fUYteZiNu5QKC7FSRsjYBQeNDrRZfFG0IqDmfwP/WA3HDTfDlxIldeeWmaBIM+yc6plWNH8+O+SNpCQGZdeql89GMfi3uulp4Jd33pS0mTybYSEEKd3FmSMMoJnULEjdFNOBaahnKMb8BvuvYwkLkGCSnCs4CBa0Je+T1GJp4DQoiMgNsYrtfddJMc2LdPVjbpBtwvitC0EKKDdgLSE6tBQBCa79yxI0xmDAFBcA4BgNRgmLNOk1mKtWJ0YOBj6KNt4HMTxkw/CAjkCw8QJIc1GQJBGBRv95cuXqzHuj0gYDhh0iR9fkJQLrn8ciUgECATqmX2xRxoYiAE8+bOlSuvvVY/QjdDeFK/AQN07az35Rdf1LkgNHhATGp8DYn2ejVUDh0LWcTQgOBNuujSS+WDtWt17Xg+2Ct4jTnrLPVIxBOCZbxl7IWMXSbM3eiF0OwsfeMN9YJBapWkoKMk6oOUvSQfaMIZjNmD+1qJdY47+vNCX6Fc2uNy9VD8fS8E5EC4DgiaDKqZc+Mx/7GeoTlnyBU9r5R/7v+HHKjbp94KwqrwkHgzPE7fpmPoT7pfyIyp92H6x9rbJT0uk4kFk+WnW38Qq2tcn6cKAWGxCNFT5WXpaUFAAN1oKrgRUMfECOf5zC2eNzqIZLUQcV2Nrk7cWCnUSDP1O0w64UTHOt36W+xOtzOeGvvtTgUJWyMgHg91DjJOAZ0wrBtuhoDkyEsvTJf6eq/k5lYnpAFpCwHBaPz5L3/ZrEhrolcGuol777kn0cPC/ZMlIHgE0DYQvuTWCHDPHzlmjKZgf2PBAvWAEMqE8alakSb9R2TIL4J08MDQpB/PL+pHYJQSyuUmOTd86ENqCL+5aJESL7fxbggI3hQISqyGxwDDnpAfo4libgxxiBTaBF70nT15sgrS2SskAONY9+DaD8YQHgN+j6FsdBWEhCE0x4Nh5mBesj9BrlTkHQyGl4oXCXwx8PEw4OHAKIcYRHpA8EYQzkVo0kvPPy+XXn65elDeXLJEReK8eCSsCc8FoVWMwdx8brwH9CGkCmLCsRA3sGMd48aPVyLCnsAarxMEYPzEiXrMa3F43tgLniCw5Ho1e8A2weOBtmbxG28oWePvkCPjKYm8Tvg36wVnk4o41jnu6M+LMovksh5koxooj+97VPbW7gkTEDQfkInINixnuFzZ62p5at/jWtfD9GmpPx4TwrnmH35ZNlZuiDpmtH1SJ2Ry4RT5/uZ72wWGVCIgJDUyyY7aZXNtGOS0ISBgZDwhpuhTpFDLZKsyXo/OYIm8kSD1LG3NmjXy8MMP68URS4TdhnPebQ612HWbU5lWGyHDHYZcd2jx1AGJ3CcEhDog5eV58spL50lDA/Us6qS2Jv5ChG0RobOe27/wBTl74kRdWiL3aTwHGIuP/u1v8tr82KEYLZ3jZAkIAmcMS0TjpJ81hjVGJaE0Y5vCjtBEEILEG3XCgCJrc+jbd49HjU88HhABsjDx7Ordp49j+K9a1YzkXH/zzWqAYihr2ltXHSwVg0+frkY9+o1YDaMbQxxyYb4LzI0HBy8E++M5O/Xcc+XAgQMaXmUKHbrHNnVOwKSsrEw9EEYzQWrbndu3q/Fu5rji6qtVL4JWBBKCt8J4cjiv5553nnqM0FhAIKiDhYhb9SJNmZ/AjWcsewDXl154QdPoMq7xTLEGMoNNPucc1XW8uXixXHvjjeqRUY1MRobk5eZq6l/E5dgSkDf6cSxkDI0G+wMnk5EKfQ790QDFalwrXANcJ5xbN9FD7I+HBtIBeYTY0Mfg7h7bXCuEc3F94RWiX1c3Q0DwgDyx7zHZXbMzaiV09zqH5ZwhkAMICOL0aCTF3R8Ccl3vG+XVwy/L1qrNMfubYwnpmlJ4rty3+e52gSmVCAjXCy8tUqGdVgTEkBC3mN2Ir82XNJZeor1Pmjud7Ny5c2XRokWWgMQJssUuTqBst3ZFgFh7E4bRrgN3wWDJEpBrrl+o4vM3FkzWVVMtPRTyxr0DkoFQ2yLZhnfgktmzNT07b7HjbdSD2Lxpk7zw3HNJZzNrSxpeQqPINoUBDbEwhrV6D/r3V4NXi+lVViohQPvx1pIlWq/CvO03IuozRo7UN9+qeXj3XQ2vIiSITDfnMMe2bc1IDmFTaAMwZNe+/76jjQgGlchg0BKCRRpe8InVMNhZu4Zz1dRod+ammB+pcPGOoOfA4EZkjuGO4NvsFw+EZqMaNEhrkLAGvAwQKZ7BCNRJHQsOaCtMul3CqoheoIL81k2bwuSE8RBY48mgyCQ6GsgQWFPvhPOOB4Jm6qtAHiiCiI6CcC/Wgd6CcCeIA5+PGjtWQ6kgO4RpsT7G5xqgbgupciFspOHHM4OehOa2I4w3gj3i/cJ7MffZZ2NBrGF0jE8YF4TRTfQgmVwr1LJBoG4yfqFRYb+GrCjZCgRUM4VXDU8ZZJBMXF3dCtCA9LhMU+s+tf8J2VG9XRoaW08PjGB9ZsnF8uyBp7V+R6xGCBZpeF8re0V2Ve+M1d05d5IhV/a6RiYVTpH7NnU/AoIWK1qx7LjAaedOpx0BMfi541/N7xJ5k9Ze50GzLwSDqk0hO5ep09EVa2mvPXXWOCbrl8WusxC384AAN00Eqt2hJUNAKE541bVvyL69PeXtN8cpDAjTqRFy1vhNMmr0Dnl/1QjNntVSa2shQmdOr3zvRz9S4y/e9vRTT8nc55+Pt3vUfm0pRBg2ig8eVA+FSQ9rvAeEHWHQ8pYaHQLGPM8EjGIMeO55BUVFWm8DMqFZnlau1LfvEAGtr5GTo14IwnEwvE2ldGpQ4DFAkIyxzuf88G+MXYgMb/DxTsVqkCPE4xj6hhwwN4QJETbidDwX6EDwxmDwMBehRKwTTwxGdGnPnuqJwZOCt8OMhYcC7YRmenr3XSUiNLQVhQUFGtZExXfWTDpeCAF7wDOh4Vk7dypu4A2xwPvCdxb8CIEiVAwsMNjxUOBFmnb++bJo4UJdJ5oKDHY8F5AKfgdBI6wMTwMif8KzKN64ft06HQ+PyQvPPNMidOADHpBDvC6xGmuHgEAwVjYVp+QYiB6Zr0gagCcDEsXe8fgQfkYNEAgGa0f0z9pYLxm9uFYgqtzD8LBAAPHwgBeNf/N7tD2QZBpaE3Q9eH4gYO3RqDqe74WAzJZRuaO11sfWqi1ShYC8KbVutHmGZA+VacXny4sHX5DyUOwaPhQiZI6FR15vVogw1h7QmUwpnCrf3fztWF3j+jyVPCCpJEQ/bQlIXFdNJ3Qy3pho9U86Yfq0niIadpH1UdJ6g3bxKYlAdypImCwBmXPVYtm/nyw8zQnI2RM3yMTJ62XxIkJCWiYgtXV1YaOyLSf52uuuk2uuvz6uIbhffPW//qvN5BEDn9S3yTSOxXPBn2RJMmFJvMHndxjBhEGRAtYY9Lw1R08AaeB3kBY8cLzphqgYwmC8+RgYhOfwEotwK/PmnPoUGLPUq8DbAgFgTsKQ8LBgyKLBcGtDWtoj2gSM9LeWLlUSQGM+iAOFAgl3Yn/sKzsrS9/6YwhjEEO2eOmG9hKNCnvAaDaeAsaiD+FlZNTCewLRomF0Y0xDfPgTIka2LdZMH4xmUgNDalgPGhm8MniKIHQm9p39oq2AfLB/9jLz4ot1HRyDR4q14Q0yFeMJ0YIUQULos3f3bs0Yxj4gXngZ8C4wb0svOJkfYoMHKlbj3OBlgbSAgSGrjM8a8O6wRrwjmv0qL09GjBypIV5gwu849yQqgKSBs6lhwvpYB/25RrjmaOBA2NcH69fr9aAEpIncsFe8du3R/B6/aj/m9Lxaegd6a02Psroyebf8LdlU2TLJIWPWuUXnybxDc6U8FJso9/T3klmllzbVB9kbdelOjRFPs89mFM/UOiA/3/bj9tiupBIB4fqhlk4qvOS2BKRdLq+2DRJ5s0qFC6NtO+q8oy12nYe1nekkAsS1R8blpyM+8RKQjAxErE7BOf5+xohdqvnYuaOvZsjKyBD1gMTbQvX1YaMy3mOi9ePN973f/74a6LEaWQ6/ftddpwiSYx0X+XlBfn7SqdITnSuR/rwZJ0MUjZAqDO/3V68Oh25RFwPDH8Ob8DeICgYxxjskwmSqimY8J7KOtvQ1daOQH+PhwatAellDsvAIYWBDQAipoj9v/VmzZtcKBsMFGxNZBwY7b/4JV8JDw7Vy5PDhblXzJxE8OrovNTj6Z/VXI9+b4ZPq+krZS1Xyqm1yJNi8ECbkgP/0mvAVaNpeBOW1DTWq92mU5gVN3f1zvNmCcJ06IKTo1ZeWEf07eq+Mn0oEhPWkSkV0S0A64+qzc1gELALdCgHCObh5pnuLl4B0xD41E1NTitm2jP+d735X34S31jCyf/qjH2mdhra24qKilHh7mOg+CO/CWH/37bc1HCceT0eic3R0f8Kp8L5Q44Sws+7wEqCjMbPjdz0CqUZAUqUiuiUgXX9t2hVYBCwCaYYAMenxxMqn+ra6koDw8KlqCt9pC04/e+ABfVveWnt9/nx55G9/a8s0eiyZlnJzcto8TlcMQKYkMiEhancXtuuKtSQ754CBA2XSOefI+ytXNktNm+x49jiLQGcgkGoEJFUqolsC0hlXn53DImAR6FYIEFtNHHm6t64kILyBL69wwiKSbYSr/u5Pf1LRMyFI0ar8rlq5Uh584IFkpwgfx1wIoNM1RbrG/I8apalb0QKkoweEdMGmYjt6j8j6Hm0+yXYAi0AHIJBqBITQS+qBdHWzBKSrz4Cd3yJgEUg7BDCaKUjYFuM5FTbdlQSE/VccP94mI5LCfd+45x4VzT70q1/J3d/5jmY+onFuqAHxjyefTDrlrvscIYyGgKRrAxcExWQ8woNH+FtkmUmoYGTV8FTaL29uSetL+J4psphue0glPO1aOgeBVCMgvERBiN7VzRKQrj4Ddn6LgEUgLREg247Jt5+WGxCRriYgbfWCXDp7ttxy661qjH7trrvE11Tt2RAQ6o20B0nU4nj5+ZqdyTaLgEXAIpAIAqlGQFh77969u/x+ZglIIleR7WsRsAhYBJoQQANi6hOkKyhdTUDAjTSmNbW1CUNIuNWnP/tZTbFKIyXs3Bde0AJ47d3aUvujvddix7MIWATSC4FUJCDUkiEpRVc2S0C6En07t0XAIpC2CHQHIXoqEBDCfqg/Ud/QPJ2m+8LAA4EAnNoIEydNkksuuyyq3oNjKHa3ccOGU66r7du3a80DCE8iXhFS2xYWFqZl5qu0/XLZhVsEuhECqUhASD3NT1c2S0C6En07t0XAIpC2CHQHIXoqEBAuAMTE6EGitYtmzZLzzj9fQwayc3LaJAKn0jbVrp947LG4r7v8vDytmWGbRcAiYBFIBoFUJCB4P/CCdGWzBKQr0bdzWwQsAmmLQHeoiJ4qBISLgErPFIKj1sPo0aO1KjPVszsi6xQZzF5+6SVZ+PrrrWaDysnO7vIwhbT9gtiFWwQsAopAKhIQ9Gy81OnKZglIV6Jv57YIWATSGoGDBw+2KYtTV28+lQgIYVbX3nCDnDd9eqeFO61bs0aeePxx2b1rV7NTQWYlE/LV1efIzm8RsAikNwKpSEBAlExYHfGCJ96zZQlIvEjZfhYBi4BFIAKBdK+InkoExEB73U03ybTzzuvUB+MTf/+7LHj9dSGsjpbVpDexF7xFwCJgEWgrAqlKQKgFQk2QrmqWgHQV8mk67/ABJ2Ts0Ao5UuGXzbvzZH9Z12ZRSFMY7bK7CQKkeeUnXVsqEhA8IVOmTpWbb7mlU2E9UlYmv7z/fjlaVmbDrjoVeTuZRaB7I5CqBITkGtTW6apmCUhXId80byLZWOJZKg/vjmp3ffwDmXP+/vDwtXUeefL1AfKHfw5rlylnTTkoV8/YqwQn4G+QTbvzZPPOPPn7K4Nk5/6cdpnDDmIRaE8EuIHiBUnXlooExGA5aMgQ+cS//munZWo5cfy4PPyXv8jWLVvS9XTadVsELAIpiECqEhDIBySkq5olIB2MfEsEI/L3bSEikaSjJRLSFnJy7QV75Yu3boyK1u//OUwemTcoaST9mQ1y7+fWyLlnRjfk2pvoJL1Qe6BFIAIBsjehA0nXlsoEBEx9Pp9cfd11MnnKFBWod0QLBYOyauVKefaf/5Sa6uqOmMKOaRGwCJzGCKQqAUHnVlpa2mVnxhKQdoa+NWJhPnP3aSsRcZMK8/dovzPbbO2z1qD4z1s3ynUXRC/wVVbhl5u/cn7SSN529Xb55FXbYx7/xGsD5KEnnKJjtlkEUgWB/fv3t5pJKVXWGW0dqU5AzJqLiovlY5/4hPTt21cy2ylmuT4Ukt27d6vXo/zYsVQ+TXZtFgGLQBojkKoEBAE6QvSuapaAtAPy0QhFJNlw/7ulz1hKa+SkNU9HJPng39F+xxzxEJVIWG6etVvu+NDmqGjhobjiP2YmhSTej2d/ulhDruJp9/1xrLy2rFc8XW0fi0CnIEBKVyNe7pQJ23GSdCEg5r5FyMA506bJJbNnJ12bIxgMyuI33pClixapfqct3ud2PBV2KIuARaCbIpCqBAS4uzITliUgSV7wrREMQyTo4/5x/z7a381SYj0QWyIikaTDTTTMZ5G/i0ZIooVqlRTUyYP/vUL69qg5BbG9h7PlY986NykkB/Wpkj/f807cxy5a1UPu/s1Zcfe3HS0CHY1AeXm5UBU9HVs6ERA3vuSw79e/v9YJoV5I7z59pEfPnlop3d0gGwcPHJC9e/bIzh07ZN/evYLHKtiU7Sodz5lds0XAIpBeCKQyAenKTFiWgCRwHUd6JyK9GpGEo6V/R5IPCppVVVXpStxzRDNqqF7Jw9c0yAJxfKZSbzQS4iYfrf09FhkhA9btN2+WiaNODVe448eTZN22ggTQdLoy5u+/sSzu49ribYl7EtvRIpAAAnxPISHp2NKVgKQj1nbNFgGLwOmJgCEg2G7mh/Ant73WVch0ZSYsS0DiOOsthU+5CQYkIhrhML9nGgyV+vp6/ZM3c4RtcAL4XXs03v4h2szOzlZCYgppGcLCxe6+6M3FH+13LYVvsU68FhCHb316e8XWKAAAIABJREFUXXjZ+w5nyW33TpW6oCfhrTz5o6VSWuDk34/VmOfWb02L1c1+bhHoNAT4HhOGlY6tR0mJihC5d5l7lf5JqCYvRNJxU3bNFgGLgEUgRRDgPnrgwAE5cOhQmHxgk6UKAenKTFiWgLRykcbycDR7YEeEW3GsqREA4TAejq74TlBoJi8vT3/y8/OVpLjJiPuLEIuMGGLSp7RGHv3uW8228+LSPvLjv45OeIufuX6rfOzynXEd9/baEvnqg+Pj6ms7WQQ6AwHuA4T1pGMzL03YAy9C+HG/NEnHPdk1WwQsAhaBVEMA24ofQz5ShYB0ZSYsS0CiXKXmocxH0bwckcTD/BuSAemAcJw4cSJlxY2EcUFEICQFBQVRyYj5ckQSEjCBhPTtUXsKAeGzb/3mLFm8qkfC3/37v7xSJgxvPRMN4Vd3/mSSFkC0zSKQSgiQipeUvOnW3Pc3Qz64n5l7X7rtx67XImARsAikGgLu0PdIAtLVa+3KTFiWgLjOfjTiEY1s8Dvz++rqai1EVlFRkZaZcPgyQEKKioqikhHD2iPDtfCAPPb9U8XjpOT97PemaKX0eBvhXPd9fo30KTlV4G7GOF7tk/sfGWkzYMULqu3XqQhwD+Bmmo7N7QVxez9iJcNIx73aNVsELAIWgc5GwESORNpTbanN1p576KpMWJaAuITfLXk7DOEwD2dAQ3SK0VFbW9ue10GXjkVoFkSkuLhYs8mYL4v7S2P+jgfk8R+8G3W9iYRJQT5+/qWVkp996tvjjbvypbLKK6s3F8mzb/RLiNR0KZB28tMOARNumY4bjxZqmo77sGu2CFgELAKpjEC0bKSpsN6uyoR1WhOQaA9et8fDTTz4e1lZmRw9erTdU27mZJHFyivZWQHJDmRKY4MjAc3wZAifZQcCEgyFpLK6VrxeT1PRs0YViJ6orCEmSvYfil5FPNmLm7hAiAgXJsTExC4a7cjkMcflwbvWtjj8Lx4ZKc8u6tfq9K2RDw60NT+SPXv2uM5GAE8o94Z0ba3VH0rXPdl1WwQsAhaBVEIg2ULQHb2HrsqEddoSkJYyVkWSDkM8iPFua7Gx/NxsyckOSH5ujhTk5yi5yM/L0WwzDY2NQmXehgYnI1ZGBinaPNLYgA7FybBFuFTAnykeigx6PBLI9Ekg4JesQEA8ngw5UVUtVbV1crDsmFTX8OdR2X/wiITakGWLOcmS06tXrzARgYycc2alPPTV9S1+L9BrkBVrf1lW1D5njzwm9/77mqieD3PA/zwxXJ58bUBHf/fs+BaBNiNAVrtDhw61eZxUGMCGXqXCWbBrsAhYBLobAqkSchWJa1dlwjrtCEik1yMa4TC/w+PRFuKRmxOQovxcKS7Mk5LCPCUaeBO8Pi/+DSURjiCJTzI0nCtUHxKPeNT7IQIBcbLS0Dxer/i9meLzesTr80imz9f0w7+9kun16viZ/swmspChuTT3HzoqO/YckB2798u2Xcll62GdJSUl0rNnT03vCwH57Tc2tnp/WLutQO788aRT+kwde0Tu/dyamNXPH543SP7wz2Hd7R5k99MNEUjnTFjd8HTYLVkELAIWAYtAnAh0VSas04qARHo93OTDnQEmWeLhw1tQnC+lRflSmJctmT6vhkd5PU5tDObHewApaGwiFeLxiM/rU3JRD9mod7wdSk4yvE4+fsaAdKhXRA+WDGkU0utmBfySk52lBIQ+fq9Hx2IevCPZ2Vm6BsYkSw/ekG0798mGLbtk07bdUn48sQrOzI9H5JpL8uVP394W8/L+v+cHy59fGBruFy/54ID5y3rJd/84NuYctoNFIBUQIBWveVmQCuuxa7AIWAQsAhYBi0AsBHhxTZRLZ7fTgoC4vR6RGg838SB17u7duxPOZgPh6FVSID1KCsJko0Fjp5xqXngqMNyVALlS+/IPfBtukbchKg0NjQ4RaSoeiAciI6NR9SHejAz1gvgDAfFn+sTv84kPDwh/z8zUH/6elZ0tubnZSmw4Tn90DYR71UsoVC9bdu6T1R9slU3bd0ttbXzFAFnjrGkemf+/jmemtUYo1hd/MUHWby+UWVMOyl0f/yCm58OM996GIvnS/WfHmsJ+bhFICQQoRtjWMM2U2IhdhEXAImARsAicNghoaYW+fTt9v92egLTk9TDEgz+J3967d29CIlL0HH1Ki6V3aaF6OjxejzQKxbwwyp36wZAIHBYQBeMFMfMqIRHR/vVNVdTxaJiq5Volva72ZCYqfB6NjB+S7Kwsyc7KdrQfIhIM1inJwY2Wl5stuTnZWg09iz+zsqW2plqP83p96m3xZfokWBeUYDAkIa163Ch19Q2ybsN22bB1p2zYvD3mhXjRVJHX/xyzm3bYsS9Hnnqtv3zpY5viO6CpV1urnpcU1MlnrtsqY4dWSF29RzbvzJM/PDPMZtNK6CzYzvEicOzYsS4tOBrvOpPqV1oqGaWleqitjp4UgvYgi4BFwCLQOgKHD0tjWZkT6dLJrXfv3mH7s7Om7tYEJDKtrgm5cpMP3loSOsHv4mloOob07yUlBfmS4c1w6oGQtSrDeSyHw6c8GRryxL9V99GkzzB9tOpwQ72E6p2aIjSnj6Pf0AswA3IRlFAoqB4LBOoaxpXhUUKDIJ2+Po9HPR6ZmZn6u7zcXCksKpSAPyCEhUFc0JRk6tiOhiQUDEldMOiI3yFh9c5a+Pvho8flzWWrZeO2XS3icsUMkRd/Hw9ibetz8ecvSmoAf2aD/N/d70jfHs1rM+CRwauybltBUuPagywCLSGQzql4Y53VjJEjRUaMiNUt9T7H41tfrz8N3I+5X3Ovb4ygUU2JPTLwNJP1jz+9TgitbRYBi4BFoDMQaNy4URo2bGhGQDqLjHRFKt5uS0DcxbX4u5t08HfSZu7atSvuN5Y9ivNlUL8eUpyfpyJxfTB5MhzjPRgMX5tOulrnh99DLriAlCg0ERE685khISYsC8aBlwJPhvPj13Cw2lp+arW/ajmCTrYsSAeEIzuQpeSDMCwIR25ujuo0Apl+zZjFWpg7kBnQPnhrCL/C+9KgxKNe6oJ1Ut/QKPWNYFOn5OlEVY2sXL9Z1qzfckomrdtuEPnf73f8V/Kmr5yfsMcCz8cnrtou183cG3WBbfWsdPyu7QzpiEC6p+JtDfN0IyAQjQbumdRpiiQb8V5c3DvxMgcCqsmzzSJgEbAIdCQCkI/6Dz5Qm9H8MF9nkJCuSMXbLQkIRrpb6xFJPhCZ79mzR435WK1HSb4MHdhLCvNzHcEGY+sLtEZp9BgPSHMvhiEgSjAiPCsQlPDFhJOj6cFGuJbjMcETgoA8IFlZgWYhWZAQzZQVCupbPEKpCKnyejLU20EIF+FgCM/z8/PVE5KbnaNrgIhkBbJ0PPfFrN6XJpJSS9hXbY1UV9dIKNRA2i1dX2V1jaxYs1Hee/8DXSOtswjIv31vimzendfqacrLDglpfcePPCZTxxyRwX2rYp1WSYbYxBzUdjitESBsEo9qt2wjR0pGGnhAIB6hysroXo5kT0yTd8SXm+t4RWyzCFgELAIdgEBo/Xrhpysqpufl5UlBQedGhnQrAhKp94gkHhjPiMzjKRiWm5Mlo87oJ6VFuSTF1VCljEYIB0Juh3ig3XCa42FpLho/+cbMTYYMqzUZsTQlL6REMtTL4IRjNSqxwKvhD2QqaSA7FusPajiW4z1RZsxPoziEJUBBQ0eAjsejsKBASoqKmtYmkon+o8kTo8m0NDNWvXpF0IzUhUJSV1er3iGMqSB6FhXBE4rgkVCjyOtLlsn76zZ2GgH51m/OksWrepzyVYdwTBl7RInHmUMrEr4VWAKSMGT2gBgIdOtUvGlAQEJVVdJQV5e8xyPWFc69EE9zTo4NzYqFlf3cImARSBiBunXrJLRuXVPmUyebabOX1gmPGP8B2IAUn+7M1m0ISDS9h/FAmJCr7du3qwehtYYxPmJYfxnUp0QLAwb8PiUdiLYbSIPbFCbF7xjLEApCopQgBINa10PrcWQ2kYcmkblSFVc4GP8m1ljreWRmhjNlGTKjxQd9Tq0QE0aV6ffruphHw7JCoZMEJCtLPSEQmJrqGikqLJTeTanVdF7dT0BgusyBJ4XMV+w5Pz9PPSoQEwjI8RMn5OjRY+LN9ElObq74/dni9WdKfWOjHK+sFW/ts3L/VxM3/BO9uE1FdYTk6uUYcUzOPTO+qu8UQexT2lwDwvwvLu0jP/7r6ESXYvtbBGIi0G1T8aYwAWkkvThej/ALoZinqU0dNEV6To6SEdssAhYBi0B7IVC7Zo0E161T0uHUiDtJQDo6DAsblDpvndm6BQGJJB+Rng/CIuIJuerXp4eMHTVIcrMDUlVVKaG6oGRlZkqjZDhVykmb2+gUDTRkwvwJAXF+nDoeppk0uuZCOtnf0Ya4LzL3iUc0DpFx2K9DXJSwUDcEkaTH45AIMlnV1ek4XEB5Obn6OWQIPUjA71fCAckhtIqVO9m2HKE72bH40+93UvnikaFxfGVVlaMVaWiQnLxc8fr8EqwPSY+eveSCSfvkvBGPdvi1il4jLzfUasX0aIsoq/BrEUSjB/H7HG/VsvUl8si8QR2+bjvB6YlAt03Fm6IEBJ0Hno+uaN7sbPFmZXXF1HZOi4BFoBsiAAHhx3np7PwYD0hHExDm6dOnT6eimvYEJBr5cHs+SK976NChVkHNzg7I6OEDZOCAvuL1iDSG6qWy8oQE6+rE73M8E4Rg4fVAqI0+gt9h8Bu9CeQDz0NGhkeJiPGGQEgw+I0A/ZQQLCbUFLum7gckwyu+TKeuBxcF1IO1mH1pit0sR89BdqzaatLs1uuaCvLzJSc7R9dWU10tVZWVympzcnKk8vgJ9Zwwl181I4GmJC8NQt0SCA+eFvqSOhhvT8Xx40J6UQgI3pdgqEE9ItMn7ZErprzUqRdrvJPZTFfxImX7tTcChHfiQex2LQUJSH1VlSMy78KGSB1viG0WAYuARaCtCNSsWSN1XURAWDsERItld1JLawLSGvnA0I5H7zFs6EA5a/Rgqaw8LsVFRbg4pK62Rmp4sxYMarpbnA8Y+nhCjP7DrfdQgtKUIteducDJNOVkrDLeDsZDEI7l3+RHcXQWTQUH8Xyor0N/59EQKEe34YRh4f7HG0MndB9oRTIaG5uyZdWq14PaH2Q0ICQB4gJhgaxoVi7VmTSq2BzviWbSCmRJdk626ktCoTolGBCZ0pISqag4LgcPHnCYOIJ3PC3+gAzoe0JuvGSx9Mzf30mXavzTmLCt+I+wPS0C7YNARUWFUNC027UUIyAdST6G9O4tN8+YIT996qm4TqMlIXHBZDtZBCwCMRAwBMREunSmB4SldXYq3rQlIG7yERlyhYB6x44dQl7+1trVV10ihQV+OVZ2RMlGQUG+1AdDUltT0yyFLulqQ0FIxElvhQm1MiFWJkTK/NtUPnfS9NZpLQ6N62v6cdaF18MJDXKHVmmUl5YYzHAyXSEs9/vE76fOh5OaF/JAQUI0HYRX8TvevEI4ICUQEBWlm5oiLv0Je0XjQX8NvwoEJDcvT0L1QSUhHEc2hN49e0lNTbUcO3rUJbAnTMsn3ky/+LOzZdggkQvP2Sl9898Sn5R1+Q3mmUX95P5HRnb5OuwCTk8Eqqqq1GPY7VoKEZC2hF31Li6WOZMnS68oYsvRAwbImYMHS8/CQqmoqpKz77gj7tNow7Hihsp2tAhYBFpAoKsJCCJ0Xlh3VktLAtIS+SDsCWH21q1b1SBvqZWWFssdn/+kVJ44JmvXrMGvod4GQqUw4Gura5o0F+Ri9qjXoK4OcTn6CCdcyhAQN/Ew5EOpBQUDm1LuNjY62hB+1NPRVNzK8aI4oVc0k6EK0uH1ZqrHgVojEBXWQEas3Nw8R49CaJcvU/ya9coJBdPaHcePq2Ae5lxSXCw9SkubaVIgZ5WVldqXvxNiFQyFHE8L80IuPBk6LgQHAkOhQ/bCnDU1tRqKlVeQL8FQo/gy/TJk2FAZMXK0TBixVxprnpFiz6uddf02m+e9DUXy1f8ZL3XBznMhdslG7aQpi0C3TcWbIgQEwXkwxoulli6OsYMGyVPf/KYE4hCPP/jss/Lzp59O6Drz5eVZYXpCiNnOFgGLgBuBriYgvHhGM9xZLS0JSGSNDyejU0hJx5YtW9SwbqlNPWeSfONr/0/eX71SNm/eLHv37AnX0oBA1NXWaQYpJRMZGN5UEjdpdk9meDyp/XBE526xuQnDOuk+Ew3DUv1FQ4N6QTjJOl9dja6X9ZvMByo+0qKFPsnwOsY/pABmynH01exXVE9HlO7SojC+KY5IKFY+AnR/png9XiUQeDggKISHUQmdcBFTEb0Rj0yGiDdDlHjgCYGIEP7lp6hhk+akR0mNVAfzJRTyixfhe0GBDBl2hkyYMFFKe/WUQCAoLz91u4zut0QmdlKyKcTqd/5kUsJFCzvri2bnOT0Q6LapeFOEgATLy5PKdkVY1TN33y35ceg1SLoBAXljzRp5b8uWuC9c1QUWFtoUvXEjZjtaBCwCqURA0P8WIUXopJZWBKQ1zQcbgVC0Rj5uuvFquftbX5bNmzbKi8/PlbKyw5oZiuJ9TkaoeqmtwQPipNd1h0VxPkz1cBWGN3lB3PU/3MQDr4QhFD6fk7EK7wweFkjDgAED1LAnXAPBu9tj486OhWcCz0xuTq4WFqTAIBqV2jonBS9NxehNdUgIveLfeDlMJXaOQS9isGFddXUhJSJa7yMYkmB9vVTVVGnIFR4aKqwzn7PXBhWmZ2VlS06OV+753HPi89TLyg1DZN224fL+1l7Ss1dvGTd+vAwfNUr6Dx4sVZUn5A9//Iv89U/3yWdvEfnIlSJ9Ty3n0S6XOaJzyEesgoXtMpkdxCIQA4FumYo3BQhIsrqP/qWlMve++yQ/wdCCypoaeXThQvnNCy/IkTi9Lh4SjuTm2u+IRcAiYBFIGIGu9oBga6ID6ayWVgQkmucDwxsjGvLRWtjVpz71Mfn2t/5Lw7NWrV4lby9dKscrjqv2w53eDAJSU9XkAWnKxewU98tUQx0S4iZC7qxWWpyQCuVNdT1MCJZJKsDnzIeqHVKAqJxaHG49yUlvi+NVITiLcfw+n2Rn50heHqTASdHr9rpANviBaJisW1xEJnMWc7gF8g31jbqf4yeOS10wJBker5IaxOkNignpeptCvPRPvwSysuSCyUfkE1e/0+z6LCvPlbU7Rsquo7Nk2KhZMvrMseotobDiY48/JV/68jeUfF1/iciHrxT56JXte3nf98ex8tqyXu07qB3NIpAkAgcPHlQvZbdqXUxANKFGRUVCRQYJtbpl5kz54g03SGESpOBgebn8/sUX5fVVq2T7gQOaCTFmwwuSn28rpscEynawCFgEIhHoagLCy+vevXt32olJCwJiNBJGR2EMfR7y/Gzbtq1Vwfk3v/FluePzn5LqqkpZunSprF61SjZt3KhGMdoKJ+1Uo7rOg7VB9YKYZuprYNhrGt56Mls5maTcgnP3mjgGEmIaOg/T1+g3VIzudYrNGO0H/zakgXURCmAE9lQ7z87OUuISCPg1rOqkh8WnJMwURoQs4bEw9UKo51HXlK7yJHlyPDqqAYGAeH1KYBgHDwvZuyBOpPtlLCVBfr989TNr5cxhB1u8QMuqhklD7sfFX3KTeLN6SHVVlSx4Y7F85jNf0IxatKJ8xyPy2Y9Im0O0Hp43SP7wz2Gd9oWxE1kEYiHQLWuBdDEBQfeB/iPR9qvbb5erzjkn0cPC/blfvrtpk3zypz+VWl4exdEyyBRYUBBHz9hdcvx+mTBggFwwfLg8tmyZ7D52TJ8LtlkEThcE8jxZcm7OcJlTcLb8tuxV2Vp3UOqbkvd0Nwy6moCAZ79+/ToN1rQhIO6QJ0MCIB87d+4Ucu9HaxjqP/nxvfLRW26U2uoq2bt3j7zy8suybv06OXbkaDhsqbGhUeOKqYXBdY13wMxnwqEMSUCUjteCl2FOVixHcB4pTHdS8zrCc7wJTo2NplApxOhN3hXS5pIKF70Hffg7Rj/HoUchgxYZrxobQpKbmyslJSVKLDRkDN2IzytZ2dlhUblZDxhBHPILClQrgs4DnEwYFpm9lNzUowupl1r17jg/dYR3aV2RRl0LKXpJGlyQ2yj/972347o4GxoD0pB7vQQDV0lN5kxZ/t5qufWjn5JDhw43O370MNEQrY9elSF9SuN4w+g6+u21JfLVB8fHtR7bySLQWQgQVkk2rG7VWiEgnoxG6VFQKdNH7ZCBpeWS6w9KbpbzEoe05XUhr7y3va+8+v5wqQmefDETLz7JeD/M2LdceKH84Lbb4p3qlH7c1z9z//3y+urV8Y+BF4T7bhvz6fOSqn9RkXxy2jQZWFwsDy5YIGv37bMEJP4zYXumOQLeDI8MyewpX+x5lZwR6CX37H9SVlRvlVAUAoKN4svwyIDMEiny5kmJN1eWV2+T8voqtYEanDfN4UZ/xu/jK5J+mcWSmeGV7XWHZG/QsSfRxNJ8GV4p8ubIjNzRck3BJLWF6qVBsjIyJdcTkL8cXSTzjq+S2obgKXMkCn8qEBA8INiqndFSnoC4jXu3lwEDmermrRUZ/N1vfyHXX3elZAeyZfvWzbJ27RpZsmSJbN++XVPtMh4NzQMkRMMmIiqdm9Ald15mR3TuCNSdh6zj4TChXIaMqFhcvSVOtXHjFTF74t85WVlNRQo9SjZoWmTQ43XWhdZEK57XqgcCD4gWCvT7HTJBNfXMkx4QUyGdE4uQHc+N8WCgCyH1Lp+dzOKF9qVB6sguE0TM73hBWLfH66zZKaLokezsDLn1yv1y+fQDkpsV/9vIBu9Aqc2+RpZvPluuuu7LYU9I5AX+kauy5BM3Zsmc82OnMd2xL0d1HyeqEzdoOuOLZec4fREg/XesFOBph04rBMTnbZBbzntfPnfJO0owqut8Ut/g0Z/jNX45XJErCz8YKgvWDpXKWn/CW6+vqZH6JIs73jZ7ttx9660Jz2kOeOatt+TJRYtkybp1CY3RHrVBsjIz5cqzzpKPTpkiVXV18tNXXpF1+/dbApLQmbCd0xmBbI9fPlJ0vtzeY7acqK+Vu/Y9LO9Vb4tKQCATkI8v9LhCdgXL1HZ65NgSORyKXo6B/r18BXJnjyvkSOiE1DYGZW7FStlad6AZZMXeXPlQ0TQZnzVIllVvlWVVW5XUQFr+s+eVUt1QJz879LxsrN0vwcb47aJo5yUVCEhn1gJJaQISmW7X7fkgzIFCgy21b9/zFbnz9s9o3YxMr1cWLlwgixcvUq3IkbKysECbObK0IniGhjBBRKjBYciCqRweKTB3PBaOeN2QC81e5XWyTZlMVJAKBZnMUpmZ+rmT/apOM0xR/JDf08rLnSrKfI4AvLCgUNcPEUEcbgoaUtkcsblWW4cwhEIqOudYs27m5C1sVXW1ek0gLhAb+p0kbY7wXrec4dVUw86PQ1B8/kz9k3lIAYwmhPHz8/0yc+IJOX/CHpkwMrHaH4cqh8nXf7RTnnwpJMei3BfIQ33WmAEyZ3q53HjpYRk16NQ3ycerfXLnjyfJzv22AnE6P1y669r5jpWXl3ev7bVCQAK+kPzw1nmSn10rv375XKkN+dRDbLwf1cFMOVqZLXVBr4QaEk+RHTx2rFkq8USA/cqHPyyfmzMnkUOa9f3RE0/Ib+fOTep4P9lkmlKuJzPApEGD5Nrx41V70is/X37+6quy48gRS0CSAdMek5YITM8dJR8vvkA9Dv18xfK1fX+XTXX7ooZgQQg+XXKxejA21e6XGXmj5Pdlr8mhUEXUvff0FcjHimdIsLFe3qrcJFcUTJDHjr0pm2tPFlfG+zHc31s+XXqxPFu+XFbV7JCahqB6RyBHtxbN0NCwhw7Pk4WV6/WztrRUICCdWQskZQlIpO7DTT4wrDdu3NjiQ+mO2z8t3/n215zMTzU1crz8mMx/9VVZunSJaKXi4yekqqryZPrcDMeTga7DqUjupN7V2hoaimS0Gl6tNG5K1eM5OKkDaR6OxXhmDJ5BeBBM6JQJz4KAQDQcUiJKgAh/gvRk+pw6HPxAHAgnYy1oKjIpAkhqXfVMUKHco3uqOF7hhH05T38Nu4LosF5qdxDCBZmgCCHZuJiHeGK6s+f6ejQuEI5g0xe8UcdSMuJzQsVYB+l5swJZgi6lKC8oF009INPP3it9e8ZfAbq6RuTvc0Uef1HkpcXNv7JkCINksbczBgblhlmH5NKph6W0wPEQfeVX4+WddSVt+Z7bYy0CHYYAN9UjR4502PhdMnArBKQkr1p+85l/yjubB8rPXpjRFJ6qFZM0iAEikmxrpJAr4vMkW1sJyNNLl8qXf//7pGZXMbpLC5joIINLSuSMnj2lZ36+TBs6VO5/7TXZffSoJSCJAmn7py0CwwN9ZGygv3obZuWdJd/Y//dTNCAeyZAsj1+uLZgs5+YOl3v3PyUjA33l6oJJ8qvD8+RgqPnLIEKoAp5MuTB3jIZU/eDgM4LO5LaSmfKnIwtlU+2+MF6EZZ2Tc4YUeXPljRPr5USDU1+OO1q2JyAfK54uc/LPlgcPz5OllRulpjH9CUhn1gJJaQISqfvQN/7BoJIPjPVo7eabr5PfPPQzJR8YzGWHDmna3TcWLJCV772nh1DnAyLC+Fpgr15dAM3qcISrq6vWw9FvkJqW+hg04+FwCMhJAsMa3eJ0iIfxHJi4unCKXx3T31Sw0JkHL4fxxPBvjP3cvFwpKS7ROVk3nzMPxMQhJwH1bJRXlKu3BVJhPCEm/S8kIjs3R+OS+R0kDo8JGhBn76bIoijpqG+s18roSgTx8jSl+83Jpvq636kP0hQmxnh+f0DGjQrJtAk7ZdKYXZLjb7kWS+R527Zb5O8vivzuMZHtexwcRo4cGRbSGzH9RZOPiT+zQV5f3nlZGtL2zm0X3mUIdMuNFHAwAAAgAElEQVRihK0QkFH9Dsv3b3lZ/rJoojyzbIzeKzJ99ZLtD0ow5NWwrIYkSUgDNZIqK5M+l20lICs2b5abv/e9pOb35uQIoVjJNl6G5QUCcvmZZ8p5w4bJA5aAJAulPS5NEfCIRwq82fKhonPl0rxx8s39j51CQAIZmTIlZ5hckT9B5h5fKSuqtsmE7MFyc9G58rODz8uBCAICqRgd6K9jQhreqPxAQ7f+vfRS+W3ZfNlQuzeMFvcyrB+1zXgp3aQLgfSU+vLlh30/KscbanSefaGjUUPDEoE+FTwgvKgmwqYzWkoSkJZ0H7FE5xddNEP+9tffSX5ervgzfZIZ8MumDRtkyRtvyKYNG2XXrp0q7MbwpgAf46mB3ehUPHcTh7CXA21IU+arrIBjeJv1cYJM2JXDiZ0LNVIPgpibfug2jE5ET26Tp8KMgZcBwmJ0HCo+b2xQgTqeEgxxnuNUajf6D03Jm0G8db1WNGdvkDSzF8bW1L6EUuHNUaF7phIVqprXa1phjP4mPUsTvefLFqoP6bYgLRAjZFmQjyx+AgEnG5fXJ6G6oPh8mZKXl69FEfPy/XLZjHqZMHKjlARWJHQdv7nKISIvLgpIr74jda2OBsUJbzOpjZvhmNAMtrNFoGMRgJAfONA8jrhjZ+yE0VshIBefuVXuvPwt+dVL08TraZTR/Q5pOFbAV6+P64MVuSpA311WmLAIPVRVJQ0tvGyKZ9dXTJkiD91xRzxdo/b5/IMPyrzly5M6vj1qguRnZcnV48bJ1CFDrAckqbNgD0p3BAq9OXJr8XS5OO9M+ca+5h4QIxD/zx5XKnF4pmK5VNbXKCH5aPF0+eHBZ2R/8KSmFJF6vidbdSJH6k/II0eXSHlDlZzh762/+3XZy7KuZk+rkEFI0I6gC5mdP07+fOQNeb5ihYZyGYKSLOapQEB4qU3Yfme0lCQgkfU+THam1nQfAwb0k/nzn5W+vXtpYUEMc4zulStWyLy5c+XokSNSUV6hHoTKE07hP1O8Txo94bf8atiGSYRHGpuyWdGXcQnBMuJ1TpAxkNGNOJ4SCvc54Vcn63uIGtEY7IR5QSrMZ2IyYhHipPVDHNE3TfUXTWmC+YyQK8KttJJ5MOgwcs3c5YRKsV9CuCAuHOvVsClHd8KaaupqdV1kVzEpfoN19HVE9RouAY3SuOVGCUE6mvAgLW+jNIjf61MShlcHUgQRgYBAgvDEBLKzNdRrwMCBMnL0KJk0aZCUBl4VX+UTkhHcFPc1TYjWP171y9L3B8jba4tPISHKk9oQXx33QmxHi0ASCOzde/ItWhKHp94hrRCQm89dIx+a9r7sPlIog0rLZduhYtl5uEhC9R7pU3RcJg7ZJ5v2l8r9c8/XPom0ZNPvMsek4cM1pPbxr389kSmb9f3MAw/I2u3b5cCx2IkxIifhxY1WRm9Dg4CgAzlnyBD5xfz5NgSrDVjaQ9MTATJQ/UvxBXJh3lj5+r5Hm3lACJ3C0zEha7D88vBLsjPoZNkkbe9txRfKvQeekj3Bo2FiQNYqNBtX5J8tPzn4nGyuc/QehGx9qedV8qvDL8ma6l1Rs1lpFEiGV/I9WXJL0XlyTeFkebFipfz92NIWhe6JIp4KBASbkRD4zmgpR0CMd8GEQBny0ZruA8P3ySf+LDOmT20qnudTA7z82DF59+135IXnn9dMUhjuFAmjAGF9k5cAI7bJEeHgDfnwkGrXyWaQ6Q9oUT31anAZq2bCIRdKSjIz1fB2PCgn63iYdTOGKQ6IB6S2Fu+FQwRMaJfxmCCWN2/56ctxrCecCaveKYSoC24iC4pXQ4OGZdU2ZcUyBQ9ZN4QGzQjEyCnaGNS+/gC/82k4GroPp+K5k6oOMgGTb2j6GqoOpNHxgBB2RfYICF5xYaGSELBlDbS8/HwpLC6S0h49ZeiwM+TsyZOkT/9+UlRcIg1V70hj+SPiOfEPyaiPX6S756BfvvvHYbJyY1HYE+L2MnXGF8XOYRFIBIFuVw29FQLy4fPel9njNsvK7X1l3uoRsv9YvtQ3OLoPn6dBCNH62vUL5M8LJ8mzy8ckAqMEy8vD95aEDhSRjX/4g3qFs9sQBsWceEDwhCTT/MXFyRwWPqYwO1tumjhRzh4wQH5mCUibsLQHpycCJd48FYFPyxkhX933SDMCMjNvjHy+dLb8/NALsq3uIK+BNW0uGavwgPzo4LOaWre6oVZfruIZub30MvnfIwtkfe0eDa8iJGuIv6d8tvQS+WPZ67KieptUNdSd4s3A7unhzZdPlMzUtSw4sVb+78hCqWqsa7e6JKlAQLAF+/Tp0ykXS0oRkMisVyaNLX9u2LChxUrn3777q3Lnnf8mfr9PfN6mEKOqatm+bZusWL5cFi9eHCYgZICqrqoWqEK4yJ8SB+eBCfnghzAmDG+0EXgeNFOVMhWHgHAs6zpZdPBkCJf53HhKOBZCwQ9ZsUy6XUNAHN6Todm6DNkx1dcJacJjoSSkSRhP/Q88I0pygsFw/Q534cJoXhouLPbFSSdkirVDaExfrQ1C3RIwcCLK9IulQnVpVAJGemCtXeL1KvnIzcl21tdEyHLz8qSgqFCKikpkwOBBctb4cTJ46FDp26+fZtvSURpr/z977wEn11lejZ/pZWe2N2nVe7HVu+UuVwzGNqaHEkogvwT+4SMEQuhO8kHyjyEkQEIIuFGMDQZcwGqWZEuWZVvVKlavu9pep5fvd57nvrOj3ZW0KrtayffyG3atvXPLc2fufc97nnMOHB3PAG2PwRVd2a8P+v//yAg8vmJ4LlzRbsXqV9nslS5RBa64MMIzAJBR5a3wutKobw8hEvcgneV3XO+nzAgJBeL4tw8+J1kg//n8onO6IonTZDz1ZyMEILxXXejy4htv4EP/+q/ntZkLBSAlwSDunzsXVw8fjn9dscJmQM7rKthvupwrUO4O4xOlN2N+cBz+rgcA+Wb1/ZjoG4blHdsRdvlFTE5NSJW7CFP8w8Xdan/iJLZGD2NjZB/+v4o7QGet59q3IuT0IeTyS55HiSuEGYFR2BI9JK1cO6LHsLZrl44JrbwQtmndWzQfVwVG4dn2zVjesU3auPIzSaxp6vMu91AAIDx4AhAjQzjvk+nHG4cMAOnL9cqwCOynrq3tdibIP6/bbr1ZdB8eDxPFiX+zMkPf3tqKLVu3Ysf27di5c6doP5j9wTA+OkB53R7LdSohg3EjJDcMiAAMsailfsMt4MHJ7ixr58omqNBaW4FUu0HgYBgSc5wmTZ3boJaCbVNmBt9cZP632wI/YgTs1O2xH4/bzNenEESQxYiR9YjFcoJ8rsN/J2Do1pEk5f3aKuYR4EQWxjA2ytqQ0cnKbKGI6F0KplR4ldFWLAuiEWyIG5bHY7lh+UQTwsLwuJg5EioMIxwuQvXw4Zg8bQomTpqM8RPGIyNXR0QlorsRpiZ2HI62R9Fx7L9QUXR6S99ln5qOtq5ADvCZ+thtWP34lturDHoF6ILFm+sVs5wBgFDjdjqnK/6tOBjDf33iKazZOXZQAciT//APmD1+/AVfggd+8Qv87/PPn9d2LhSAlBYU4L3z5mHasGH4l+XLbQByXlfBftPlXAHa5ZLlmB0YIzkg+UnoX626DxXuMBpSHWhJd6Irk0Asm5CWqlvDM6SdqiHdgd2x43ikZZ20WY33VYk1b0u6C53pGKLZBGo8pbi7cJ6AFdr4kk357yadHCVDMtJThk+V3yKOXHTWIphpTfc2x6Bonp0j57sMFQBSWVmZkwKc77n0531DCoD05XrFAyT7wYFzz4W6j1Ur/4Dqqgp43E4N7qNVbSyG+pMnsW3rVsn9YFp6h2W/y4AwMggUT3PATAZAAAhnyky7kzWAl/YsajEszQaBjWo5fAIyjBuVukB1AwUCE/7N6C8MSyIgRhLR6Yyl7lfGiUtbvCDgQberzITX5xMth+aTmEUtggVMJOLiaEU3Kx4nWQyzrmnP0rYube8i+CHIUC1KN9AxrA9rIiyMU1u/5EXYIIBEQxslxd3pFBBCUXogEIDbozONgQCT04Pw+QIoq6jA+EkTMP3qq3HVVTNEQE9NDTU3woRkSCilhRGKRmN44Mv3YvLwV/HeO4GScPfZrt4IfOwbY1FcXJwXjGgL0vvzBbfXuTQVYA4InemumOUMAMTrTkvLFZ2uegIRvyeFBROO4cv3rMZPVs/D4xuuPqeSXAgD8uFly/C1D3zgnPbXc2VOQF3zuc+dlwaE27pQAFIWCuED8+djUlWVBBEetW14L+h62m++/CpANuOvym/D1YFR+MKJxwQksDODCxkPjsuMQ5URgdM6lyGB36r7jeSGUCDOwECzvrSY57la0e6XYObHTSuxPvImUtm0tGFxSrvaUyzAhSDln08+JbqReDbVZ9sV1++ZuH4uFR8qAKSsrEwlAAO8DAkAks9+5Od9cKDM1PLThXo9/fTjWHrNQvi8brg4YGYbUDIlLAdDCrds2YKjR46A7RAtzS0CQtTiNiMfWt0XxdpuOHJWutpiZVyXOBAnMyDJ4pz9d3uEleAg3DA03A5BDF8EHdwHQUG+e5NhIQg+yCBwGxzUE6xwPf7dhP5JHgjBUVJdqwQEMd/D0p8IEKD7lWWpy/UVTBFYqABeFrpbWR8gAQ1WO4I5b25PmAQX2SNNUxcHLYsBMToVboLHQfAhv6tURsXolgaGonSPV8/LJ6yNFyWlZRg9dgxmzpqN2XPnSmuXgDxpgNO2NwIQCtypTamtrcPSpTejo70R77wZ+NA7gTuuBe74BLDqFS8mT54swC2/roYZGuDvib15uwLnVIErLg39DABk/vhjAj52Ha+UFiyz8B5RU9KGz965XsTp//KHa/HqgZpzquOFAJDiggJs+vd/l/v2+S47jxzBXV/72vm+/YIBSEUohD9buBATq6okiPBAY6OdA3LeV8N+4+VYgWGeYnym/A5c5R+JL9X+QrQbBoCcbsC/IDgBn6+8C1+tfRx74rWn2Of2BRDImHyj+n78oPF5vNi1J7c+HbNuCk/HJ0tvxg+blmNN504ksoxFVJVsOg/E6NjIpB+dX6WHCgChDS/NhAZ6GTIAJJ/9MAN7Ao8DBw70WYN3338P/utH35VsDpeLs/NZcWNiSxKF5gQur736KuhGQ8vdttY2cb8yA2hO/wtrIJoHtwzyOTA3rT1cj7+7PW4BAwQU0gtoDeQNoDAidtrfkmXgLD23yf/mgF5D/BRgqFhdQwn5Owf7PDYO2nmx80FGOqOuVsZW1zAeok2xLHFNexaBhbRk0VaXDIiVb8JzNGwIj5ODdy75AMSAEAYVctvG3lcAh2hBrF5uowsx4AaAsSXmNgmqAkHNJfFKPkkAJaWlqBkxArNmzcbcefPhFBcvl9WGRWE/W7F4DVTPwuP/2c8ext/8zRf7vOZVVVUYPnx4rg0rBxKtdrGB/rLY27cr0N8K8H7Reh7OSf3d/qCvdwYAMn3ESXxg6Vb8+uWrsfVwtTrpWVkg712yDR++bjNWbB+P/165AI0dwXM69AsRoXNHP/rrv8ay2bOtSZP+ByJG4nEEfT58/dFH8fDK/unU+jqxC2VABIAsWoTJVVX47sqVeLO+3gYg5/QJsle+3CtgAAg1Gl+u/RV2xI6cNW9jQXA8PltxpwAQtmydzR6XAOQfqu4VAML2KrM+/51MSls6IgCEP8d5K2UCm61a9al26TwxizqJ5nernFv1hwoACYfZRp/XhnJup9HvtYcEADEz+/nsBwfCe/fu7bOPurAwjA3rV2D0qJGi/aA2I0OHqCR1HnEBH2zbenXTJjQ1NcmAnDa8XZ1d0i7EQTXBimkvImsgdBzBiAxmVX9BAXhBQVAYEM5o0kWLjk/GqUrWcattLmfw+T5qILhwQE1QkA9ACEKYMm7+jT/piJXvhsX3auuTOlIxp0NF4lkBCMLgSHCHWgBrirrDAhVcV9+bA1oi+tYWKrIVpu1LQZ46W8n5utVemOcnSeoEW2IprI5f3Rkcum3+O7NWKPLU4EMXAsEA/H4ffH5a8YZQVFyMiopyzJw5GwsWLkKgoAAeP9vXBN7lxO6suwmZpD5l2bK3Y/Pmrb0+xDyHKVOmaMuXVfd8LYitB+n3995ecYArwO8p7z1XzHIGAMI2q7fP3Y1rpxzCb1+ZJja8hYE4Fk44irvm7JHv++cfvQNHmoqRSJ2bKDzV0YGM5Uh4PrWcOmoUPnrLLbhl9mwUncOM3su7d+O1vXvxH3/4A+LJ80s3vhg2vNSAvG/+fMysqcG/r16NXXV1NgA5nw+C/Z7LtgLM3Ph0+a1YFJyAr9b9Gpujh6RF6kwL3a4+VnojHjj5WxxPNp/13NmCxTarHzUtx7bokdz6dxfNk+2QFWGGyCz/GBGucyojmklK+CCF69Sg0OKXgITi9PNdhgoA4TiWk+kDvVxyAGJ0BsbWloNsAhHaWJ5OeP6Nb3wZn/3Mp2QGngNfDtXTTMy1Bug7duwQ/cdrr70mDAMHrM1NTYh0RaSoHLRyhlIG6Q6HOl5Z4INgloN4Du75vpIyTSAnG9PZ0YlYNCqDX67P90n2hc8n7VcctOfamizHKZ6fGSxzEM/9cnBiWocIoMhy8EIYsXkun8Sy8JUAwmxW2AlhWhhWaAIGrZDEnqJsboPAggJ643JF4b0BEqbdSkTw0halqfB8j4YT6n+bxHeyJ/peVeLr31UXYgAK1yEDwrqFi4oQDhciFAoJA7Jk8RIUl5cjGA5JfQWCWAyLYXd0Xwls3LhJQEhfS2FhIcaNG3dKTQ0IswHIQN8u7O33twK8N9Bx74pZzgBA6HRVUhDFJ5e9ggXjj8HjysDlzMDnSaOhPSjMx4t7RiOe1Hyj6SNP4r2Lt+P1Q8Pw21emn7FEFxpEyI1zkmT1t7+NmrKyfl+Of33ySfzg6af7vX5fK15oECHZdrpgUYQ+f/RoPLxxI3acOIH2aBTR8wRFF3RC9pvtCgxyBcg0VLgIQG7BdQVT8L3GP2JTZL8IyCOZ+GmPZk5gLN5bsgT/Vv8M6lJnz/ChwxX38ZPm1diVF0T4lap7cUNoGlrTEfidajCUktarDLwON3xOD9yW8JztWJujB/HF2l+cd5WGCgDhmJY6kIFeLjkA6cl+8MHN165du3JZHPlFmD59Ktau+SMCfg76KTy3EsWRRaSrC60tLXj11VcFgOzfv1+EoBzAs/2KDAZ720zLkpndN3a/OvDn+FoH3gQEpWVl8HjVPYr5IdyHSRc3WSF6fOpba4CAGejzL2aAbnQeRutB9oEsg9Fv5LQbVpuUsfk1A2sDBlTYwbwSbSkwgMUwHcbBSh2u8tLZJfFc/1v1IspsiN0us0BcqhNha5phUQwwzJ2XW/up9b1cX1kSOSKHA/6AH8GCAhQXlUgmCAHJrJmzcM01S1FeXY1QUaFsn+1sRmtitkctCEEk3b3+9m+/jJ/85OE+P/+TJk0SYGOzIAN9e7C3f74V4PeDkyhXzHIGAMJzJAgpD0dw7dRDGFfZjJA/jvaoHy+8MRbbj1YjmdYwVC5TahrwuTtfwuo3xuEX62ecsUQZTixdBDH/Z+++G5955ztzmrgz7ZT3s6Wf/zxqm88+c3qm7biCQbguQMjp93gwsbISH128GKNKS3G8tRW1bW34086d2Hz06BXz0bJPxK7A6SoQcHpF+/H5irswwVeFg4kGHE004ddtL2N915unLRwdsxgW+GDDsziZOnvmGNuq/qJsmeSD7I53h8j+YMTHMMJTihUd27E1dgRHEo2oT7UJA0N3LgrjJ3mHocDlE0etdV27haE532WoAJDBCiO8pAAkn/0wug/+PJPt7tNPP4Hrr1sCr8clwnMJl5DZe4eIz2tPnMCGDRuwfft2NNTXC2MgACNFRsCBwnBYBq75AnIDCMgKaDufisM56GamRUGwQAbWBoAYQGBYEGVQdABORoZaEGPJaxgW/ZtqQUweh9rxKoAwx2ME8NKSxOMRkZOCLDlTk7BuMRbyJ8qhcnoWq30sl6auLVaysBXLAklsKzPtZPwTrXZz+hcTiW6FHRqAwJ/COOVYDw0klLYutoulM9KCRQBSVFQsbVhkRWbOmCkAZNjIkSguLUU2LcU6BYDoeaWRTiWRTKVFkL5kyc1oaNBk0/zFZkHO9/Zmv28wK3BFpaGfBYAMVF3paphsb7/gzZNNWP5P/4QxVVVn3VZdSwuu/8IXpPX2QhZPOAyHdR8+n+143W6MLy/HsqlT4XE60R6P42BjI944cQJ1F6Em53NM9nvsCgxmBZjpMdVfI/kbHodbrG8JEF6PHMTR5KktrmRLXOBYBGDbFkEIW6c6MzFpK+9pjyuupsJeAEWuAChcZzsV26ikKwMZ3FU4R3JCtseOoDMTRyybRDyTlL9xzOOGS1qzGH5IRoR/a0qr1vh8lqECQDgRTc3tQC+XFIDksx9mAH4m9uO2227Gz3/+UwQDPnhkoG8BEGoXsmmcrKsT/QcBCBkUsh5kQPiS9iCfH6FQgQABApL8NiST60GWJJlU3QVBA8XZDNzjoJf2vmzBMi1NvEj529CWJytRPKNOWjK4t9gGfqhNy5a2HxETZKT9yjhZ6SDfLXoUsgGiy7Ci2gWIUO+RIXuhWg11pOrO7WDfMduuuB/DmHD/2gpGly4vvB4vuiJdAs662ZJu2116WZsWMXGcosaF+SKif6F2g21YXJ9Agu1qXtWhZGhHrAnuBQVh0cPw96umX4WFCxdh/KRJqKwepsnGfQAQBaRsw6LWJYHvfvc/8PWv/3Of34GeLIhpwzK5KgP9xbG3b1fgbBW4otLQLxEAYY2Tra3dzn5nK/oZ/v6nBx7AxJozu3BRz/b+b38bm948/exqfw/Byx5qy8Sjv++x17MrYFfgrVuBoQJAeAVo+DPQyyUDID21HwaAnEn7sXLl01iwYJ5lu8tBcpbjX8n+SKeTYr1L4fpLL70kInTO+BN80I2GLTt0muKAmGne/JtxfTLuUyx2OkVBdFpAgWmB4vuKi4pyTIUJIORgm+vQJctoP/hvIiDPzxJh32CqOzmdjlHdOSDM/YjJ/ihk79aiMNNDgZACHtVpcPDO/5l2JzoVlJaWiO7C6/UJ+KA+hANxZmtQAxONROQ4mVXClii+yBaxLvw7QZe5HtLGZYGafJG9aVPThHRt/9JjzcLt1aDE/FYzsh9BMkd+PyZNnISZM2dhxqzZGDl6tCWi782ACJcjWSZpCY7kMc6Ze63Nggz0XcDe/oBUgExuX/lFA7Kzgd7oJQQg6VgM6Wj0gs/wle99D+WFhWfcDh2v6Hx1oQtbr9iCZS92BewK2BXobwWGEgAZjDT0SwZAemo/ZCCfSJxW+0H24xe/+Jm0+NB9iZkUMhhm6xG1A6mEBA6S+Vi7di3efPNNGZRz8M0ckJKSkpytmLRDOV0KHixhNwfeXJ/ghON9JhmbLA/O5BeFwzlGwzAHHFyThTA2vfyQERDkBwyatibTZsX9sVWJgX1kF2SGL5lAIhlHPJ4UMGBE8UZ/oYJviskJYpLSAsWAwmHDqjB23FhMnToV5eXlIvqmcxdX4DY4gKcQlhbEdAfz+VQgzhetiinyP3r0qOhmuF8uBkjo79rOle+AldObKAki/0dWxAjTDXMSCoWlBYu1GzVqFCZOmITFS6/FpMmTFVBRwJ5n8ytsimVfJ61tiYSwTQ9+9wf45re+3ef317Ag+YGP+dbB/f3S2+vZFRiICvC7x+/hFbFcQgDCSRdpw8qzAD/XmvJ5se9//xcH6upElD6qoqLXJlZu2YJPfO9757rp3uuTOS8s1Nwje7ErYFfArkA/KzCUAMhgpKFfEgByOvaDM4an65s27IeXoYO0nhXho/jvik0jW4QoOt+2bZsAEP5eVFSYm0kPhUOi5TAaCzpCiZYhnUFbe6sAEW6XQYNul1tcr1gcggTa1/rpdOXivp3yHr5XMy3Uwleta/lvee1QHJzTqtelLlY9W6JE94CstFolUwpMUmllAESk7XSJZkQG2E43woVhlJaVCtjgq6KyHFVVlageVo1gQSgXkCh6jFRKWqzIAEU6uxDtiiBOpiOjlrztbW1obm7ByZN1qD1RixPHj6Ozo0PazLio3sQkpWtQIQf3mgqvTIWFWLoBiGSqKGAh2DGOWDU1NRg3fjxuunkZpl99leaAWG5aqqfhiwmKukkFXnpNW5pbMXf+dWho6G1parQgrI8JJzQAxHbE6ucdz15twCrAiQ/Dlg7YTgZrw5cQgPAUkx0dyF6AJuPqMWPwu699DRt27cKnvv99PP2Nb2CkBUJ4735o+XJ854knzttyN/8yOPgcOQvTMliXzd6PXQG7ApdPBYYSAOEY02THDVQFLykAyRdfk41g+5Sxx80/YbIfv/zlQ8J+UAQtIXkyRJfRqgqXY3Hs3LkTmzZtkhYsakFoI2YsdI0egW/hDBj1IMJAOICWliYZqItGw0OtiE/+24ASJ5kAsiZMDLfam1QDISN0dY8i8+CAvEeTynX2i+8lqFGyhiJr1TgkkgmkrMwNEV+LCJznpgN4j8cHry8gjAqP3eXyCNgYM3aMMArszyPAoqbFF/CLTsOIwUWwLkBBcz0SsbgwQW2t7WJFzIsei8bE0YtARFrX9uzBsePHhRkxgIpAQ1kQlzArRtNiwJS6X2U1Sd4SphvGJD98saq6CqPHjMGdb3sbZs2ZAz6gpX7i6KuuXCKxN6iHovpsRrJaeJynY0H4vunTp1s2yJrH0tOOeKC+OPZ27QqcrQJkUflduyKWSwxALpQFYRbIV97/fhxtaBCBucflQnEopJMt2SyaCHAugGHJXWOyHxSfW/q/K+La2ydhV8CuwKBUYCgBEEZWmFy7gTr5SwJA+hKfc8Avuo0+luXLf4+FC+fD59MsCpo6Ufshrk7ZjGpAkimx3125cqXkf5BJqaiokEE4QwTZdsQZeRVju7kKIkoAACAASURBVOH3+nI6jI6ONkRj6pbFfw/4/aeIwjkwFsbFOjax37UE6i6K4XlMZEYslkODBTUcUNunmPitACST1KRyj88r7+PCbXAW38/8jHBYgFNRSRmKiktRWlqKwnCh/L0gpOF+QQb+sceYgMjtlPcbsaMBBSpwV80I65NKpBCNxITlILtDfQgZhmwmja7ODjQ2NGLrtq3iHtbe3oFYPGF6rJAVJscl+hIeBxfD5rC+bCczmSH8m3H8Yoo8a11WXiaJ6O945zsxf8ECuJkIbzlnGRG8ueyEIjIoYBK8MFsJNDW3YN786/vUgpBdIVVoWBA7mHCgbhX2ds+1AtRY9TWhcq7bGRLrX2IAIvecSATp+Om9/09XJzId//bJT2LuhAmyylPr1+MHzzyDfSe67TYvVo0vNPvjYh2HvR27AnYFLr8KDCUAwsgK6p8Hchl0ANKz/cpkYBAwcPa957Jo4Xw888wTkrKtbTaWCxPtdzm4luTAtFi7rlmzBr/9zW+xb98+0XBwIM/9UWht3Ke4fTISHMBrm462RqXSKWEm+O8FwQBiMXV9omBcuBaSHTqq17YKJot7vfD6feKURXBBRiNJjYZKIzRPgwyBZcurzI1T2qkKyFz4/eAgXWLviwrlYhcWFkmbVWFRCcKFxQI+eO5q6+sV7YcxVhFBujAdqg0xQnG196U9rkMYGFoVE4RQ5B6LRIX5YHsWB/e0MyZLQqZhxxs7sGXrFuzff0BanugIQ7TH2TwBVWRC3N1p6qwD3yvCfuaH8DpYs4hkRXhuBAaFRUWoqKzAvffdh0VLlsBfUKDrSwq7MiA5ACJBLFpnowUhWPrWA9/Bgw/+Z6/PB2s2ceJEO5hwIO8S9rbPqwLt7e1y77kiliEAQFjHZFubuuidZuE9OujzIRwM4tY5c/DRW2/tU+/Bt+88cgQb+5j02n7oEFZv3Yr2SOScWBFxTSwqsp2vrogPvH0SdgUGvwJDCYDQuIlt7gO5XBIAYpyd8rM/KB7vq1/6wX/7v/jzj30IXq/2+csg3rLf5ew9B8D8SUbk2WeexcMPPYSmpiZhMFhADoiNlsNkcBCA+LxeWYf7JADgtvnfbPMKhYLosh4+FK+LXsRiMviAo6OVZI+4XMJKBAqCsg/qJ8ikGObDCLLVAtgnDIffG0DAH0AwVCDHx1f1sGGq47Bsa53MCmE7kYutW2xNootWqjtbxEov558IPOKxGLq6OhGJdOVCDQVokVXxenUwT3DE9jD+u8utLWZMX2c6OtmIbBZ1J+tw8NABvPDCWuzevQddEaauu+H1+xVUWWGLyry4RbuiiesmgDHPypdtZF6PsE7BgqCAkPvuvx/XLF0qKelsWSM4kxasvE+4uHBZoERa09JpseTdtWsPFiy4oc/vAkX4ZLj6YkEG8stjb9uuwJkqQOaVrytiGSIAhDoQ6kH6Wj540024d8kSyfogAOF97XyXjmgUv1qzBv/0q1/1exPuUAi8d9uLXQG7AnYFzqcCQwmAcDzKNqyBXAYdgPRsvyLrwIc0WYueC2fWD+zbiqKS4lyAn4q82aLD1qKMgA/JxEil8Nwzz+KRhx8RAMIT4+y4SS03zAv3we2GC0LSHkEmgCCAg1euo0F6QdGaEDhwG3yFgqq1oCA9PxhQXKUsu0UOlmPxmGxHZvU1uENF2X4/CgqCCASCoj8ha2JYGQ7Ow4WFOSE127k4NCfJk2M7TABhRnNDCHaMTkUyQxi2mE5ZbVkKEDwU0Ls9wnTEY1F0drQLi8MWM2pRyIqQ4SFLQjBAANba1oq1617E65u34MDBgyI4DwRJwxFckNVJC/BilohqTRQcadsZW8osJTk1Mx63AAOfFU54z733Yul116GsokKYHI1W7AYghj0xAMRY8nL7kUgUy5a9A5s3b+31OaFd3LBhw05hQWwx+kDeNuxt96cC/H6y3fGKWIYIAGEtM/E4ynw+LJ0+HYunTMH00aMxcfjwnO7uYtb7WGMjfvzHP+Kx1atz+U99bd9FB0VrouZi7t/ell0BuwJvnQoMJQDC8S+F6AO5DCoAyW+/ymc/aJ/Llqmeyzvefgcefui/ZQBrRNZkQGRsL+CDzknqmEQR+h+few6PPfZzNDY0CLgw2RhkT5JJWvXqjD0BAJkNCrM5SCAQMG5TnLEn4CiTNigyIx5BgZVVlUJHEZyIdsPSe2jwntrbEhzRzpYMDY+XmSIcwHNdDrj5Xjkmnw+qwNbBt2hI6DAlqe4UsBN8ZKQFKscGZCF5IQxXZGsHBza02WUduX+eI0FNQVD34fN74aFuw+EQ4TnBRwtrnM0gQAG+i0nyqh8xIIfnQh3La5u34JVNm7B+/XppRfP5AyJGJwAhYKQonQCE2+DxSYK8aGv0v7lBHj8BCY+FAnZew3fcfTeWXnstakaNEjZIgZqCtHwBaPc5a4sdwRLbsH70o5/gi1/8Wp9AlSwIQZdxwzLBhLYb1kDePuxtn6kCvAdRB3JFLEMIgPA7/ZV77sF7r7lG22IHYVm3Ywf++fHHsfvo0V57szM/BuEC2LuwK/AWqMBQAiAcE1NHPZDLoAOQvtqv3njjDRlI91weffjHuPvut4nOwgwoZbhK1yQBH9QcZNSGN5HEc88+g0cffkTADFuo3C6PMBYcWBN4mBcLS0aDC4+HLT6cuafIncCkrLwcpWUloiEhAiwuKhYLXP47ReCc2RcgJBIJth+5VFQuIEJTvvlvCpLUKYoAQ9bzaLI4tRXyFwYWCgBxKatjLG4ZsuhQ0NHR3oETtbWoq62V7A5hILw+PdayMvmQ+P0BASDGCUp8pbg9prDz3OkUlohLu1Y8yldUWrIIdlgP1phoiFqYk/UN2PHGTqxcuQr1DQ2Icz0HwYW2alneVQJeqAsxwFIE91Z2iLRXWdsWVy+fF7fdcYcAEGaBhArDok0REKaSD6lTvjOWuT4EZmRnTpyow9VXL5Tfey6TJ08W4Gi3YQ3k7cLe9rlUgJ9TsrFXxDKEAIip59fuuw/vXrz4glqtzvXa/NMvf4lHV69GjDpAGojYgYPnWkJ7fbsCdgVOU4GhBEA4nmV3yUAulwSAGPtdzqZzJv/AgQO9zrG8vAyvbVojAMBL9ysrtM+0N4n4nA5YYjVLdiOFZ595Bo889LAAEIo/OWjmTL3M7FuJ4tw3B8kGmLDInKkUZiTgA/dbWVUlhafV7ejRo4UB8Qf8KCktFbE4B/pkD0zzkAzJTaieEVHzv4X90FMzeSEc8HMgT/teTUynhoLCeieyaa5PYbkFrDIpYXOY1XH8+HFxgdJU9zBKSsswcuRIOc7ycgIQCtrZRmbZ/SYT4gxGJyl2QjukXSqNKK13W9sQ6eyQtiyeP+tLRiJN61vmbyRTOHjoEFauXI19+/ehluFdko/CxHM9bqmjZRmsbW5Mke/WgxDMEFgY4Mi09BtvugnXXHstZs6ehZLi4u5WNQuBKFRTgGmYC5Mqz88K27De976P4PnnV/X6vFRVVcn1ys8EMdqUgfwC2du2K3C6CpAZZBbIFbEMQQBC9uO+BQvwrfe8Z9BKzPvTiaYmfPy738W+pia77WrQKm/vyK7AlV+BoQRAWG2OqQZyGTQA0tP9ioCBg8rTuV995MMfwL9+51viFsUBv7GsNcXQ3AhLByJ5Gmk89+xzePThh1FXVyesAQfNPq9PWqxMqrgBIpx9JzDhgFVm1KmNCPhRVFwkIGTChAnirjR+/HhxpeIA30WGwauMirHW5Sy/ZFqkUsJ4yCKtVQoqTEuSrEPwoSvkIi9yrUdyOhLRB6cLiIlmow179uwW8ME2MyaLl5SUoriYr2LQJo3tUflp5cYel+dEcEZxvuhkUimkEqoFIQhJJdSCV9qWyMp43HpMdAXLZlFbWye2xq+9/jq2btsuDIu4XUkiO3Uf1N7o+bIePM9UkuJ8AyAMO6Qp6bx+S5cuFRH6wiVLLIcybTHLX6QeVk1Jh5j68PPCNqwnn/wdPvaxv+z1nch3wzLJ6MaSdyC/QPa27QqcrgL8LjJc9YpYhiAAMXWdM2YMvv/Rj6IsHB6UUjd3dOBvHn4YG/fvH5T92TuxK2BX4K1RgaEGQKitHcg29kEHIKYNytjvUnxOHUbP5Ve/+CluveUmFYTTFUpm2S06wRooGwBCO15qDv70x+fw2COPyoCdzIqXYX4WAyL7pfDaSvLmlL3RffBYOEgm0CHjMnx4NaZOm4YpU6YICGHblcfrFmTAVimn22I/LBG20hvKxpgWJRn8imuX5cQi2ghDiJhBtwq7cy1MbL8SpiaFjvZWNDc3oP5kHTo62uU8mHYeDhcKAAkXFsnxc2De2dUl2hOCAgUgCcQTcWE/CGrcTGMnWyHifQUj2XRKYBDZD5635pKQmWF+SQZNzc14c88erN/wMta9+KIyIAQrLhXhq76F56tuW2zFIjuiAI+AUK8VbZP5G5mfhYsWYck11+DaG25AZWWFlcquV777yqo8JidMsfQh0ioXS6CltRUTJ8zs1YbFL8lVV10lYChfC9LT5vetcRuzz3IoVMAGIIN3FXxuN/7+7rvxjnnzEKDGbgCWRDKJ57ZswT8+9RTao9EB2IO9SbsCdgXeyhUYagCEnSUmgHogrsugApB8/QcH/ZylZ3p5PrDgSVKL8eau11BaWiZiagIQaVHKByBkP6gzSGvqN1/Ln/8TfvHYz0FRe0tLq7AfIpY2lrECQHSomwvL49/SKRkwEzQw2I6sx1VXXyUgZPyE8QgXhixDK5eE8hHsGBcughpqLDjA52LscnnRyJjQxrZ7ocbB4kAEkEhzlA7aZZtAOsn07y40N9WjoaEObpcTXgYn+oOyfjKdRmG4CMFggYCN9o4O0Wl0dHQi0hXV7AzWNqE5H7TKLQgEJNskXFAAP8Xq1JxQJO50wB/0wx9UJy+ps8sp50ChO/Uma9etw/PPr5BtGrAhQCPNnA49M7XlVbbJMFv8yVpLe5bkfQBz583D4muW4OZbbpHWMWFo9GJIJohZTgEgVr14XpJjEo3jrrfdh5df3tTr+8DrRlbIMCDct3HDGogvj71NuwJnqwAZ3itiGcIMSH59a0pK8OCHPoRJw4apBflFWJKpFHYeOyasx4krxVTgItTF3oRdAbsCF7cCQw2AMOSZ4+eBWgYdgOTrP6jVOHz4cK9zk/DB3z8uAXycoTdBeLkBqoAIDmtFjKCDWKcDG9dvwLNPP43XX39dQEjARztdLZ6sY2kXjBWwybMQlsJKDh8zZoyAj9lz5mDK1CkQBOh2STJ4W3sH2jo6RF+SkBamjDhp8UW9hWSSZLPi/MRskarqapSWlYn1rgQWGiBlOT/pLL/SInI2mawIwyNdHYhFOuWVTtO5i+1qZDb0Z2NTM5qaWuQ4uD+2YVEjQxaC58b2LTpk8adkf5DtcbsEgJQUFaKstAShYFDyTiTtMlwgAMRpJaoTGIrVbzSKV155BStXrbZYpXZx3BJdBxxIEYSk1XKYdSbjxOPhNTY15t8koBBZzJw5E4sWL8btd94h2ScCQCyAYfQfGjViaUCs363QewFBdOX65jf+Gd/tI5SwLx2IDUAG6tZhb7c/FbABSH+qdHHX4T2ltKAA7120CJ+85Rb4zjObI55M4tG1a/HQunVo6Og4p1DCi3tG9tbsCtgVeCtUYKgBENFgX6SJnL6u36AAkNPpP44dO9anSPNvPvuX+MbX/h6+gE8BBAekeaFSymIYAKLuWWx32rVjB9avexHLly8HnbUIQEwOiLQIWa5XCoJURE3rWGVY2HqUxsRJE2Wmfu7cuZgwcYKwMWlxYUqgvrERjc3NaGtrRyqZECE6Bey0xo1FIjLY5xIMBMU1y4jEw0XFCIXDomcxlrsyy98jho8DchlkR7qQTsaRTScQjdIquBNtbR1oaWlDc3ML3ty7DwcPHREAQm1GdfUwlJVXoLS0VJygyOg0NDSI9W402oVIZ6cwK2xNqCwvw4ia4SgtLREgUlZeJvbCBHtkZ2j9S+ctEzC4fft2rHvxJWzbtg3Hjx2Hlxa+kkjvQipJC2QFIFJLEal3hxEatokp8Ty3qdOmYsGCBbjrHW8Xpim3WK1phgNRxzCnskW5UMIMOBPJ67Bi+Sq8674P9vo82zqQt8It+vI6R2pA+F267JfLhAHpWWevy4VpNTWYPHw4Zo8ejfHV1ZKMXmRlN5n1CTYOnTyJncePY/Phw3jzxAnsqatD1LqnX/bXzz4BuwJ2BYZ8BYYaAKHLKrW/A7UMOgAx+R8caO/Zs0dm2nsuv/n1I7jl1mXw+Tw6287BqNU2ZagMATUSRkgGJCsA5PjRo9i14w08/vjj2LhxI7zubvtek7itM/SaHSIAQDI7NL+Cs/bTpk3DwsWLMGPGDAwfPkyC+Yh3OPCOWAGABCRsNyoMheTQU+kkOtvaxd6WrVSigchk5MKRWSgsLEJRSRGKmaru84mQXeAH3a+grWXCGPAsRVeRQYotVLEutLW2oqW5RRgPppO/+trrOHrshGg0NCgxjKLiEhHNT548FdOvvkrARVtbK5qaGtHYUI+TdXVoa2lGJplESXERamqGo6ykGGUlJSDFVlhcJMfJHmeCj2SK7VbM9XBj//792LJlC1588SW8uedNOJmcbrU2ZdJyuDlGJK9Dzjo/bTfTeqQxdtw4AXb33PNOjBo9SjUnliyfgIwdXaJBtwCIitGd4vXPFjleMwIQttdNnDCrTx3I1VdfndP2SBuclVUykEKqgfpy2tu9/CtgA5DL/xraZ2BXwK6AXYHBqIABIGbskt9GfinGMDQ7YiL6QC2DCkBM+5U6GkVF/9FzIeOwd8/rKCsj9aODXXGQMgBERu4a7ieZGZmU/E5mobmpCcePHMUvf/lLrFv3IpJxHUibVHIOh3WwzxdnJS09Bt2pJM/DmZulnzBhIiqrKiS8kG1HocJCYUJEXO1wCQAJMmndyRn/jDAgiXgcmVRaBvAUghNkcX22R5FhoH0u8y8CBUEVbYuVLwGICrrNB4wtUwQg8WgnmhobJUuA7MfuPXuwadNr6IpE0dUVFXCUSKTgcnswY8ZMLFi4CNdedy1GjByprElrM1qam3Ds6FHZDtvVSkuKhQEJBvwIBgNih0tmhsCItqFsv+Lxqz2wQ3QgBCGrVq3Gju07BKTQq0uYJTohZ53WIN/S6OSJ6iX/xAJ2vEZjx43FnDlzcgBEQyUtFzFLiM5tG/cwbY2zxPsWSKMOhJ+dt9/17tPqQPilMUJ0A2YuxZd3oL609nYvnwpcMQCktBQoK5P7mRhlmAmgy+dS2EdqV8CugF2BIV2BNBnzhgYZU5mXaSO/FGMYadEv0My8gVgGDYAYG1zDgFDkTAesnsuihfPw+6d+LoN1sbsVEXN+PoQVRMjRr+RsKGNAYBGLRIUxeOKJJ7B27Vo01DciFo3J3ziLzv8ZbUJutp4z7xz8Ox3CWND5avbs2ZIFUlXNbIlqEcMXFRXDQVcrSUFX7Yb+rmBI8juYR5JI6jEhKy1SfHV0dsoDm4NiakKKS4rhYbiihPhpBeQY6b8L6ipSSCdiSMaiqK+rQ1Nzk4CO48dPYO++/QgGQ9KOtH79Bhw4eAgdnV1YsGAhbr55GZbdeivGjR8n+o9EPCq2u0eOHBZNSMDrRWV5BUaOqJFgQrptaQq81VJFq162OSXiOQDF3JH6+nqsWrUKmzdvRktzK1LpjJU5ojXlcctLXLCUzVHwRaG7ivNZ/wkTxmPevLm4++67UTOiJif813Yry/nKoaL1bsbLIX8zbXw8PupAvvWtb+O7D/6g1+eHvtUUuOc7Ydk6kIG4ddjb7E8FrhQA0rONNl/n1Z862OvYFbArYFfArsDZK2AmTQ37cSkBCLXMfA3UckkACAen1ChQA9Jz+cD73oUHH/wnhAWA+MSVSZkKK9RP9CBWErqkjnNwmhHLWbo+Ue/w61//Gi+8sAa1J2oRj8VzTkjcCtuvRJtgkrezdK5KihUt8z7YyjRt2lQMswayFRXlcgEo9Pb4/OJqFYnEVPsR6UKkq0t+p70tN+q2Wn5oO8ukcr/fJ39nmji1GaXM8SgpVXthr0cYELPIwJsEi7RgxZGMRdDa0iL7YbsW9R9Hjx1HUVGJMAevbd6MY8dOIBKNYdas2ViwcAFGjByFUDiEWFwF6NSqdHV2CLAIBgIoDIdRXFQoIIk7c7kcQigZVohtTolkPMeGUGDPTJUX1q7B66+9jhOsaTwhrldkhHi8Lle3DS/PxQAQXhfWQ/JCMlnMnjMLixYvws3LlqGiUtkl/bKR5RKvXg1p5DWlrkR+txIN5dqpzTBr+fOf/xp/+Zef6/X5oQ6G4ZEGgOSS4XvkjQzUF8rerl2B/AowiJDM4uW+5KzC80wmTA5QTxfDy/1c7eO3K2BXwK7ApaiAiQ3gz54A5FIcTygUEo3wQC2DAkDyU8iNTasmezf0Oq+v/P3/wWc++xcIF2jiuNPjzrEM8qATAML2HxU2OxzaEkBQQxBCFuRXv/qVzNifOFYrD3+6T5mFA1hpy8prFeI6bJGiaJzswcSJE8T9qqKiQgL/2J5ELYLD6UYqlUFjYzOam5vQ3NIkdrUEGIGAT8IK6YClbV5pjB07FlWVlaJRSSQTiMaiKCwqRnFRCcKFhfD5fRpoaA2ORazNAb2E+iUEgJBBSSVT0i4VjcXR1NSMcLhI3kcxekNjkySXM69k0uRJIiJPUiuRSGgbFUEG0849HtmGT3IynJrkzrE9j5UDe7p4ZXSAn0jGpBWLHw4yOvFYDOs3bMBrm1/Hgf0HpP3L5aJ9MVvHyOx44HS6FTBYbA4ZFqMjoRUw97F06TW45tprsHjJEmGB6CRm2BMCTQEjPChL+yEaGUmN11Y5M+tKAPTKptew7Ja7e31+CBZpx0vgYQcSDtRtw95ufytwpQAQ8702ejXDJJt/72897PXsCtgVsCtgV6DvCpg2q/zW8UuZZUb9B8fAA7UMOADpSd2bAMIDBw7I4L3n8tBP/gNvv+t2FITCGkBIa1izSL+SDlAlUM8SoKtAOY1MMoVYNIqHH34YK1asQMPJRpn5NzZi5uFp9CNmsywCkd74CeOkBYsDeX4ACChYfA6SqT04dvwEjh49LqwD26I6uzrFJpjrLFy4AGPHjpGWJrYtNTTUy36LigoxZtQoYUKon6CehBkeJaWl8AcCwmSYNPW0xUpwIM/zSycT6GhvFxAgfXgOh9jwcjuRSFRcuRjiSCeqcFGhWOpSb0LtBNufCDao9SALQbcvtnyR8WA4oIlCFHm/1c9NAEewwPatWDwmAIHgI9oVAd2wtu/YgTfe2InWtjYFBEKiqAWvw6GtaYYuJCg08YJkYjKpJK697jpcs/QazF8wD4VFRQLK5JjcHgGbclyWoxbb27Q9zWJALBKMAIvn39rahhGjpvb6/PBYpk+fLuAjXwdyKb/EA/Xltbc79CtwpQGQfCBiMx9D//NnH6FdAbsCl18F8pkQGQVdog4OTqizk2eglkEDID0T0E/ngLV54yqMGz9WBuduj1cFydYMeE4wQVG65awkg2cCkFRKks7j0Sh++tOfiRVvc1OztFwZBsQ8MOUn9SPWbD0ZjMLCMKZOnSKDV9rFdnRo2xIF2tFIDA2NjTiw/xAOHT6KhoZGdHR1IpkicxIUJ6m7736H6BvodMX3EoB0dnTIjP7IkSNQRMbD5xXGgOwB15PsDRGjK6gSYadIvEWYIloQboMARDJRPF4ZrHd1RST9vCsSQSweRyqZFuDh9nkFALnJGgHw04UroLkdFMtLlxN3Rc2FBRBEG2MBEIIPvqgbIQChIxZbzGgzfOjQIezdu0/seAl8yJBIDkgGCkAksVz1INqGZgT/GdkmsmksWrRIXvMXzkdRcZHoTMic8NjZbkeQRMaDuh86ZBkAomJ1dUIjsCLjw9awRdfcgv37D/b6bjARXbUtamJgO2EN1O3D3u7ZKnAlARBzv+yeD+oODz1bHey/2xWwK2BXwK5A/yqQDzguFfjgkXISnVkgA7UMKgAxAnT+5EC25wwaZ+wP7X0d4XChtD1JZgYHyJwZN0no4mqloCP3khYitmClRXT+05/+VAAImQgCHw6QjVa822mqe4Dc2dkhAITWu3zRire+/iTaO9rFovfE8RPYuXM36usa0dLartiFA3mXExlkUBAK4d3vfheuv+EGjJ84Udy7kom4aFCo4eDAn25Tw4ZVC3hgyxdbsIgu3dS5GKcnGbSrhsK0mJF94ADe4/XIIN3n90tLFpkkulWxLSvSFRGw5gv44Sfj4fFY7l8EG+o0JcyC4ByHtHjpPugeZoGdBAXorGFCaknmgwwPwQd/0onr6NFj2L5tO46fOIGWtlbE4zyGjMV6OIUBIbgSUbslqOdxUm/CfbO2dMFasnQJSstKZH8COAhaxPFM27gkVNEESAogIWNDgEMAkkVChOhR3P+ej+CFNS/1+m5Qx8O+RcOC2ABkoG4f9nbPVgGGrfZlNX62910Of7cZkMvhKtnHaFfArsDlVoFLCTrya3VFABCjATH6DzIOu3fv7vWZmDJ5AlYv/50IpUX/QXaAg2fOjFMrYQUQSgihBUCEKZB2JVrfphDtiuJnP/uZtGC1tbXJQJsDUbYp5Sx5uWcRUKtjUyTSJa1SzJCYO3cOZs2ahfqGejQ2NojW4/Chw3hzz14k4ik4HGQvSuV4OplUntX2p3e/+34svmaxpJ973G45ptaWVrHDzaYzKLB66XhMnL1nGxYZEGnD4mCd52cxPeoYxmR1K12dQMHJVie2KnlyTlMcjPOc2R5GsEbgQcAkuhJLui9MhCruTch4LhWe9dSE+CyyqbToTlKJBJKJmLSysS5sk2trbxVWh7O5B/YfxMGDB3Hw8CGkUllkxAVLjQKow+fv1JdItgozUlJ6Di6nJqHPmTsHCxcvRFlZqWU9rMcroEPYCupJy7heFQAAIABJREFULNBhASe15dUXz4TnHItH8IUvfh3/+7Of9/ocjRo1SlC70YHYVryX2+33yjleToLwfmcvdgXsCtgVsCtgV+ByqgDHZNRDD9QyKAxITwtePpSpAem53HHbzfjpj78vbARBgwqQtSVH3bBktGxZ71r2t5YWRMBNIomuzggeeughrFy5UhgQggy24zD5nO1YZnBOUGAASDweFf0EW3eo5Vi4aIFkitTW1WLf3r04dPAgjhw+Cp8viKLCEowZM04ASF1DPTIOoLCkCO94x9sxY+YMoawkDRx05lKhPIfihhkQV6vOLskRCQSCCDId3e0Ri98cAIG2lKVSCXjYjiTp4tTBqzOCLlZ+hlUGk6fBFiWWSFkPBR38NwEhOQAHKKdg3MQoys+q8J3i80iXJLDH6MLV2oLmFp3FbW/vQF1tHfbu3YsdO3Yw/lGE+ZLTkqVIvBvkmTYsXheyOcRW8+fPkza1mbNnoqS0JMecGKApmg223Um/o8XciCBd68cXnbVEB5OI4Yc//hm+/JV/7PU54heGSeu2Fe9A3Tbs7fa3AjYA6W+l7PXsCtgVsCtgV2AoVeAtBUA+9IF341/+79elBYuDRyOoNiLt7guj4MEkoRtBOkEG9RpGhM62IZNIzllz/j2XCSEaCLXw5QylASDXLFmMpUuXSNhdS0uzaB8aGxrR3taORDwNt8uLUaPHaDAhgUI2DbidEv5XVKJuAdQysA0rSIDhDyDg9cHj9og2guwH28QopiZjwTBDN+19vV7NM7HiMNIZalpSagglYENBhWEbBILkXKd4LibQT0GAsBu59Q1249809FBYAWEtGGdOKAHJBknF44hEOvU4BYC0oqWlSZiMtrZ2AY5sxTpx4gQSSYYuqgMZHbFMm5va+ypg5L7cLicCfh9uuOF6zJ03RzJAaBVswJRlbibsB1vvDJhiG5e4ZIlDloroCaa4LwrkH/vlk/irz/5dnwCEeSD5LVh2FshQuq29dY7FBiBvnWttn6ldAbsCdgWupApwLDZs2LABO6VBZ0A4WGVf9OHDh3ud1F99+mP46pc/LyGEBoCQ/RCgYGybZKitA2kDQMRGli5Y6YxkVDzyyCPSgsUAPQ6A6WZFvQIH0bmBaJbNQ2qtRF0GNQNkQG64/lrceOP1ortgCxKDxKixSKcy6OqKSdtRWXm56D4o+qblbSKdzLVQGfesglAQxYVFKAyFEfD54RGbWofoP0ziOM+NLIjbH4DL55O2LRGhS7eZtpZRp6EZfZaOw2qvOhWA5KIarTppSvwpACQXeGgBEGt7ZILYxkYGhK5b1K5EI12IRSPCgjDYkUCM9aUl8OEjR3MC/dq6BtRTkN/RKc5U4oRlLQROBEKseThUgIryUtx8882YNWuGJMHTgphskWnP49sIGHw+tqQpmHI72VKmrVly3UQHpACEn6MVq9bgXe/9816fI7Zf0VLZBiADdt+wN9zPCrDlkk51b5WloqwMZWVlb5XTtc/TroBdAbsCg14BtsM3NDUNijsWJ3MHahlwAGL84jmANRqQ04UQfuYvP46v/8PfCivAwD8OPp0UkFPnIdPkVi6daSeijoN6CaZ3xxO5Ae+jjz4qAMSkEFPsTZ0EWRDTgiWz/qItcMjAmm1fV101HcuW3Yzbb79N2pEYbEgWgM5VZBuSCVrgctZfrXAlMTydQlLFD/D4vBJaSDDD7YUKQgj4/XA5XDLAp28tgQ3fywE0B9QMOKQQ3UWdiskAV2EG+QMBEvlsRs7mloJsyzFLWqly6eECTeAgYrNasMi2sCWsO/JQdR/WmuydEpvcRCwu6emJOO13o4hFu7QFq1kBCIETU8iDBSHJSHlp/cvY9OprqKuvl3/3uKnb0ZryulBkTqZi+LAqTJwwHtdffx2mTJksnwOyPxTN83dumyDDQyG9T127WBu1DfZoO56lj+F58nrwWq5YvQb3veejvb4btI0bM2aMHUY4UHcNe7v9rgC1U3y9VZYpkyZhysSJg366f/Hpj8Pl8SKeSMHh9CIQKJB7Eu3LyQ8zv4lzWZwE4n1W7lGpOLLJqNi3ZySrSCepmImUoq4wxQmUNFJ660Ymy/eqWyG3mUw7xAkwbU28ZLOqUWMkbdpk3TpcoM+Hy5FFwO3GIz/7MTa9+iqSKeD/fOFLqBkzSiZhXl/+60Gvmb1DuwJ2BS7PCux6803s2rPnFAAyUML1KwaAmAyQ0wGQf/nHr+HPP/I+ASDqhMSBJ2e9jYzaZPapDkSE5AQgSQKQuHySqPN4/PHHsWrVShw9dlTSwNnWk+GDItcmpO8z7kicoQyF1YZXAMgdt+eSwslCUABO/UEikRYQwocTrWCZY6GgQfumKJznA4+AJ+APSBsWW68ET1jHykE5XayMA5SXA27JO3HnQJZJd1eI0b1IOqa4S3XrP6wGre71yGxYKR/C74hYX1vW6B6WI5Ksfxeoc4oAnQnsMWFBmKDe0dEuLwUKejwU4Q+vqcG27W9g67bt2PPmXhGoJxOpnLOZtHOlCLQSmDB+HObMnoUZM67GqFEjZVsUqZMFIcDiNg0AIQjpBiD6GTBp5qwxrwWPI55MYMu2Hbjxlnf2CUCYht6TAcmBz8vznmMf9WVYARuADM5F+9SnPg6n3Ee9wlT7fdTWuUU/CE4AMXmWTC/vHzKhRB0cs6MIQBJ6DxTDDJ0c4pySWsdn5H6fyhCEOJDO0vlQAQjXSWYgAEUjqrgv2Q2yOR2b3nN9Pid+/vBDeGXDqzKR84Uv/R1Gjhkjjoo8no3PPzk4hbL3YlfArsBlX4Gde/Zg5+7duc6YnLvrAOSFUFPbrT2+uKUbNAbEWPDy5l5bWyvsRM/lOw98BX/+kfeLOxQHonyASPL5KUUlE6I5HtqCxZn2lLAVZsD9u9/9Di+8sBr79u+TNiKZQZf5fx288qU6CHXZikSjAhyYJn7jTTcKA0IrWY+HrT8OGSxzG/EYH07pXD6JtEuJRTBl5kZorqApr2PsFNcpMzDnw4379ngsu2HmXuS1WmWoAcmkVHwvIm/NBxE3KDlurq9ibVWo58MOs/c8wT4zQAjarEVBibaxaQBhQly3+HsiEkFXRzvaW1tUCxJn61lKABIf6MWlZagaPhwtLa04euwENm16Ffv37Zd8FEmkTxOoJQSAZLNpzLj6KlBbM2JEDUpLNdSGOhk6einLoW1W0nbncoMhhKL5sITn0oIlrIhmenD7sXgUe/bsw5Ib39brc2SupQ1ALu7Nwt7auVfABiDnXrPzecfHP/4hAR9Z9q86mIPkhN8XFKDg8vjgyKZks6JTEye9BHweFzLpOLKphGYV8blgWBA6/IkboQIQGmykyYDIK40MgQjbVgWUWLFSAkD03svJDmrfvB7+dODpp5/GU0/9Xow8HnzwQQmiTdNDMOsUlmXtH20Acj7X3X6PXYG3YgW279qFnbt2qZbX6joZqLDlyx6A5LtgcYBKATP1GT2XH37327jv3rvEolZmwiXVW5LzciBE58sN+6F3fjIKtI01mRerV6/GunXr8MqmjWhvbxMNCB9IfKu2hHHPCmz4ezyRkNYfFpoMCEMFA0E/fH6vNYvOtG6X0Pik4uW4mKVhOVPJzHpWwQGT27s5COsMrZYkGexbg3wdnJOad0nrFtkTnTXjU9ICB9SBZMmxKENAwKEzbaqHUM2FsiH6TgNIdDNszBKLXdlCFk6r7UptjLkPPkiVQSJgYFggBf2JrqgAkNbmZnR2tksYIQEI9xkMhVBaXoHK6mp52EeicRHqb9m8BWvXrhPrYQYY6vGwQBnMmzMHN914o1gdMxiRrBKtinldxDqY+R9sYfMw68RvnRuBn/5Ngg7J/FhglIOCRDKGw4ePYc7im20A8la8A18m52wDkMG5UB98/70Ihgqx//ARMQmpr2/GyBFjJTOI9yzSEryH8vlDBkIdApkRxXt3ij1awoKkM0md1ErqJJVoC/lTpHLavkUGhIwIW7JMNpFpz2IYq05G6f3XhQxWrl6JJ37ze7S1R/Cf//F9hAoLlPnlrglsUims/dNTg1Moey92BewKXPYV2L5zJ3bs3CnjUKORHSijnbcMAHnsJ/+JZctuEADC9iXjgqUDbjOk7QYgyoIgB0CEVnc6sHnzZrz88gY8v/x5NDU1ig2vMgUawKfgQwXTnMXSJHEXQqEQbrllGd71rnchXFgACsn5Xv6Nrk7ywIFmVPAJptoQdabig0fTCS0woJIVZSm4a2FrOJOWQoq6kURCgwAdTtFCMGCQQEtT2hUIqOA6JQCCGSDSNEAmRATZZEGUCRHVusE6Frjq/m9RTeiRyDEpGBFrXgIOAhBaGCdTcGRSQCaFRDSOSEcHWlua0dbagva2NiSp23C7UVpejrLKSpRXViFQEJLjqD9Zj/XrN+DxXz4OttcRgDALRN3AXFi4YAFuvukmYZV4ffIBCIGXtKkJAGHvdiAHqrT9SluwJAeGrI+k3qeRSCUEdI6cONsGIJf97fTKPQEbgAzOtb3jtmsxYtRotLZ3itotFCqEzxtEJBZHcUlZzoKdjodBvx+xWBf8AZ+2vWaTcMq9Oan9U5msgBT+lAkr3ndl0iNtPUaU9chmeC8D0tSVEKSA9yc9X/LTPq8HD/3sp3jxpZfRGY3jh//139KmJew2ksKiOIQFyWLD8j8MTqHsvdgVsCtw2Vdg644dAkAkQ80y6clnQi7mCdLUh4ZBA7EMSgtWfxmQn/7wQdx1123dDIhMI3HgmeeCpYIKKzI8q9qOVBrJeEJdo7IZHD7CGfnNeOp3T+H48eNKUeVasLiOWtga21geH2GD2+MWBuT+d78bZeUlMmPPwrvZiiUtUvrSwbDpfLIYGm5f8j80Jl1E4FxkvW69itFFRGNRAQRkAahR4UA818cnLQJJcaSSqD/ZBVkX3QcF+g6XthmYJPFcMKPhQiw2hQ83A0D0gBSAGIDT7SZGIMIUdAoz04hHo+hoa0VjQz0a6uvleDw+H4bV1KC8slJYEF8gKI5UbL96cd2L+O1vnhLdCBeCGr/Xi7KKEsyfNw9Lly6VBy+PU9rarC8O091ZY7IfrIEwIBbT4aKona1XdMTi3z0eAZsU8afSSbS1d2LyjMU2ABmIO4O9zYtSARuAXJQynnUjb7vtOpnIae3oQEAmsPw4cfwkJk+ejIzDhUCwSB4lajseR7SzUzKY2J5FgTgnh3h/UkdAiCMg71UvvvgiNmx8RfQen/zkX8Dj9Wt+lNzXFYBwioiTU9aTSf7OyZT/+Z8fY8vm7QKC/ut/foRoPIl0ynofuRQHWRZqE1PYtOLps56jvYJdAbsCdgVYAQKQbTt2WOHN2ppuA5A+PhvGBavfGpAPvx/BgiDcboqRrZA7i1yQ8bz8bkIIs8iwLUpE1NQeUCidQmtbK3bv3oUnn3xSQvPociV5Eg5XLkGdjiUy0CURz5ku9v9mU7ju+utwz733YvSokaiorNAWLAuAyBPMmomXA7FCOwSQGACSa3Pq1oHk9BaSXxEThoA5I/zQhEMhASAcYEvHklVDakXIkpCpUJthK7ndAQSCIXHPMq1kcl6me8uagcuBGSt8sFvGr2yIyQMhheSwwgsJPvhKJZKIR6Lo7GhDXW0tThw7JjOFBArlVVUoLStHcWkpoglaKrdgx443sG3LNmGeRItDIWYqJQBu8uQJmD59OqZNmyrXhvtlHooRhGtaOYGHOmBRlG/6Ggm0eN24Qf6dLwIhtsyl0mns238Q191ytw1A7HvykK2ADUAG59J8+IP34HjtCdGP8S7K58ew6hpp9eWkUWn5MHR2tYMScp8ni862VjQ1t2HG7HkyycE2VG3tJX9CS/IUsukk/vD003hh7UuIx1N44IF/hNdPNp1OV5zEYQsWOQy9NydF1+eSSZn//MEPsWPHTkyePBWf/dxnhFFhyypZZ6IXaeGiCoRgJpPGhuefGZxC2XuxK2BX4LKvgA1A+nkJ8214jQsWHwpkJnou3/nWP+CjH36/CMLdnJkSBsShg2sriE96dznelyBCC4AkKZ5W1yXOjHOfzBkhAOGg+MiRI3C7tJ3HpGxz5klRo1vAB216abm7cPFC3Pm2OyUTRLMkLHRJbYcRnPNBImyHldYtM/bUaGjquDpTGd2KgiU+ZAjCJF8j0iWuXQQ3tIwlAGG7kTp7KbsjjAbF3BxwxxMSlshjpCCyrKIKhcUlFpjSkBRty1KxujI8liokT/chwC2n/1AQIvuT9izujzN0CUQ7uxDhq6sDx48dw5FDhwQUEACwnzpcVIzCkhLJBNm7dx9ef30z6mpPChDkeUqbWzaNmuHDsHTpNeJ8VVZWarW/AR7WMs9YgCwOW6/8/gD8zEWhe41oXKwX27MEoPi0HgSbqRT27NuPG2+7t9fniKGS48aN65WEbrtg9fNLa6920SpgA5CLVsozbuhTH7sfTS0nsWvPblRW1qC4qELusXzOTJg8BekkWQkn3I4k4l2t6OzoQCKZwVUz5qqug3o4PhPcbjQ1NIqm7aYbbxJW96X1r4il77ceeAAevw8OJ++dFoOuVIh178/iyPFa/PePf4KDhw7jXfffhzvvuB2pZBZZB/ehrIreH51IZfh8U53Jmj/aDMjgfFLsvdgVuPwrYACImF3kZ6X1Mm268HMtLi5GMBi88A31sYVBacGSvv1+5IB8/jOfwt9+7q8l5M8rInQFDBTrGWpA23OMnYm2X6WlXSkhrlEcVPOinDxZh+effx4bNmzA66+/LuCDM+2mFcuI0DWzQlueItGIWMVef8MNWLBgASZOnKAOWF63DIBFDE+Nh8zKqwuVSe3mdlUkboxzu927RP9hCcs72tukTYn78wcCYH+daByEUbEyP3ihLJcvurUQgPAByJl/2s8WFpUgFC4S8ToZAh6/1EUASLf/lgYYmqtugQ9LD6IaELWmVBaEgC6FTCqBeFcUkc5Osd89euQwDu4/AK+PHvsJAR3ReFxmDdvaO9Da1o6WlhbEonE5fLIn/GX48GpMmjgBc+fOQVFRWAkjK53dR+E5dTU8dtHUGwG6T1gQZZ0oQFc3LP5dtCAej2a98LOUSeHF9a/gvj6CCPvKATkllHFAvkr2Ru0K9K6ADUAG51OxeFYpdu58VcBBRfV4jBs3C3UNzViyeAFeXLsGV0+biqOH9qK14ThcBBvpLOKJDKKJLMZMGI4DB/chkQYqq2vQ0tYuLVsuZxDr1m5Ee0cMkVgELp8b06+ehmNHj6K8vBIzZswWxnbimPHwB/1YuWoNfvu7Z4Vp//KXv4jikpC04vK+mJRbO9t/lQERG1+CF/IgmTRWPGszIIPzSbH3Ylfg8q+ADUD6eQ3NjE9/AMhfffKj+MqXPidBdxJIJ+LkbgaEu8xZjcmAmcJuWsgmEY9xAEyfd3WM4qB406aNeOGFFySUkO1c3QDECsvLa1eiFSJZhvHjx2PevLm44YYbMP2q6Sqk9nsFLCgbQw2GCsDVSiVHz6jvVJ4IXEEFHzSMplIA0NzUiPbWVtGKUPReUVkpeohcVgebuaRZWRkQUvfCHKXTiJOlScSlv9nnL5DsErfX0w1AzLHkXZtTAEgeA2LaBqS52WJdKECnJaWI0Ds70dbWiuPHjuLIocNwedySvLlmzTqcqK1Fgi5ehHNOl+hYpF1OlJlZ+L0+zJhxlbRdTZrEULIsOrtUGyJJ8WynsgCGgjq1kjMgkeBTxOleS4Bu6V4MIGXbQjKTxMpVa/G+D3261ycxH4AQzOT3R/bzY2uvZlfgolTABiAXpYxn3Ui263WEg354/Q4EQwEECsrhdhYhnYzAhTR8Tp/c39UYUFusaKwhraWU0zmyaGPbaVcMDpcXHV1xpJJOBAPF2L3/BKLJJHyhAArCOhPIQMOOrggKQgXweXwy+XX8aC2uXXoj3vPudyEZV41fMpMCm7ukVYuPAdF9ZITV12eFMtHP/f7Zs56jvYJdAbsCdgVYARuA9PNz0BcAaWtrw4EDB3pt4ZMf/QC++dUvycBc3ac8uRYso2GQmWwTsMeEdGFWkiJCl5YiCgqzWdF9HDlyCLTk/c1vfmO5oKhrlAIDK+CQVrgut7yHlD0tx8aPH4c777wTc+bMgcendrHMJqHDFQfMnL1XbYLlQCWjfKVpNLC9W4AuJ0nanTqOVFI0FS2tzdJyxLT0kuJiq9VM15Pzk8F8RtJ5eUwEb0wZ50OL7QIM2qIlcFFxkWhBRJSeo97yMkCEodGHnLZfmQee+GBpvciEUIAp4swU1eNIxhWAtDQ3o6O9HR2dHWhtbcWBgwexYtVq1Nc3iChf7HOZ1SE2xHxrGsOHDcPYMWMwfdo0jBo1Qq4lNS8dne0qJne54KOw36WtbQxhNLbGBF5siSMjRLbDH1A2RB743I/FiHHQEE/G8cwfl+MTn/58r88RryHTO3vmgJyaJ9PPD7C9ml2BC6iADUAuoHjn8NZjb65H0O/CsGFhFBQx7ykFtysIv8sLpkAlo2k43R5xnkoRALD7lPdYhqJa7Gza4UQ8mUFXLIVEmvds3ud9OHCsARFa93oIZbIIhUMoDIflftwV6UQ8EkN7WxRTp0/FZ//6U8Imk2HhfTWVSapzoehF9B5MAJKhc5Y4aWkW07NP//EcztZe1a6AXYG3cgUGE4CEw2HwNRDLgLdg9QQg1EHIYLYPAHLP2+/AD7/3HYQKw6A7EpkGsbjlmctAWgfU2jZlheiZXA2KBi1bWc5syaC3vU1cTJ544gm0trZJG5O2OznlAaSLBghK+1AqJfqT8vIyvPOd78TixYvkYRMIUp/gF4Gjw609d9KGZXQeMgC3AIjFeuRAiD5yNOwvEUddXR1aWlvg83kRDocEgEggH/UuVqAgz5mAiloM6mXa29qlFmxNKyotQWdnVKyDK6uqUBAOweWywg/7SMHUFjFlXwR+5InSBdQZAJJKwiHtAWkkYwl0dXSIhTHryLo01Ddgz5t78Nzzy8VqV9kJqwUsnZEZQbIaBB6zZszE6NGjUFxSJDqdeCKGWCya04B4rZ5FST/3egWECIQTJkTTiwWoBAIaImmBMgZTcj1aXjJg8uFfPIGvfOM7fQKQmpqaXhoQG4AMxC3E3uaZKmADkMH5fBzYvQXl5QUoDnmQRRw+P5lYB1wZvqgd0/sgW7SY38T2J74oJHemed8PoiMaRTyVRVc8JUAkStDi9KC2oQ1xCsw9PmGgRYvHCRuCCOhPp8MDj8uFT3z8I1iyeI4w89m0Q1gWhyODbCqlk2NJS3ju8qChuQ1tnRFhtt/cunVwCmXvxa6AXYHLvgI2AOnnJTQAhLM+HMiynYgPZbpT9VyWLl6Axx/9sbQWEYDIQJ+ZGybaz9I5WJHnAkKY4M3BvcwqUQCd1bYltmXRava1116TFNr9+w/g5Ml6ARJkL9Ip1YpoGrrmaJBp4MJBL7NArr/+elRXVwrNLpoEiqOpXaCImvqFnPi7JwChDa8RYCjFLq5WyYSwCgRgqVQCwUAAFRXlwoZQY6F0vM6cMTG3qaFJ9Cv79u2XFrPhI2pw1cwZ8tBkG9aYcWNRVFwix2Kco3rWNB+AGPAh+9G9iQOWWPKmU+IQw3asRCwuzAdBRyIWk4ctWau9+/bh6WeeRu3Jk2JZ7CUAcbik3gG/HxUVFVg4fx7mzZ2LUEGBiM15zuK1D0huB6+/2PASfFDrQbbD0sCQ4RA7YupsrJR41l1E6QRoZKDY1pBKoisSxfd/8BN8/0c/7fU5IvtRXV1tA5B+fkft1QauAjYAGbja5m+5vu4Autpb4XM7EPR5ESgAfN40/E4CAx+i8Qzckk5u5TMx0TxN5yoGeaTluRCNx4T5iKeBSDwjGhHmdtQ3dCCeziDrciOaSAn7TKcruidK/gepDCtbqbQ0jOkzpmDEiGHS8lVfW4dQMIipUybBgRTCoQKUlVcgECzBl77yTcTSLiRTGdxz48LBKZS9F7sCdgUu+wrYAKSfl9DkUxgNCEEIB6zbt2/vtYXyslJsXr9cXJY0JVsD6KRtykr8zoV9GwbEst8VoCNOJgpACEroUyUp3Vs0pXv79h3i5GQYkFPblnTQywEywczb3vY2XH/9daJhYKsTwYe4DVgghMclVr5kaYS9yNOCmN/lDJVlyFgWwc1NTWhoqMeJE8clYZyD8arqKhkwa6BhRgT1J07U4tCBQ+LiQj0LgVJJWZmAkIqKKlQPGy6Jv+HCQpFwmECaU4pqJCo59sPQPpqOLhjJEp/TAYtgxMEQrjgBSIfmf9A+ki1PiYS0YD352ydx9OhR2Y3L6RG9CmteXlqKCRMm4Kpp0zFl8iR4PdqaJW1eVhgj28nEjtIyClALXgUY0o5lAQ3DfHm8dEJTRyxTdx4LtxGNxvCZv/0q/rT8hV6fo7Fjx4q7mNm2AWc2A9LPL6292kWrgA1AukvpsNpAZeLGkUWwIIYxY06gengjiosZfBrGoYPD5aUZG90Bq2e7IK9tWg+fy4lwgQ8FQRfChT5pJfU7XQj4feiKxuBhGyfbPIVBt2zN5Z7HcFkaYmQRz2QQTzkEgMRoqAEX6ps7EUkkBYAQaySEIVFrdE6u8D4qNvCMQHRmUVMzXHSDWaTl3h2PxuQeOXb0SGnZKiwgSJmD5SvXIJWGhM3ee/OSs52i/fdLXAE+P0pKSzFj1izs37cPtcePy6Rqz4Vjl5oRIzB67Fjs3rkTJ/pw/LzEp3JF7t7v9GN8cAJmFM7CqqYVaEjUW66kV97p2gCkn9c0H4AQhBgr3jfeeKPPL+/2V1ajZuQIYQfcHgbRKQAxg1jZrZUsbnQV/Kn7YZaHBUDSKRlccwDQ1NSEJ5/8jQjSeQx8uKl7lD6E2Epl7MzYk8YXRegMz6MgvbyiXAbATPLmT2mXktYwJ9gW1A1ANChQcYcmoFsqdG0Zy6bR1NgguRpbtm7B4cOH0NzcjHHjxorjltE7cKB++NAq4eXLAAAgAElEQVRhvLlnr+yLNr3hcKF40JMRmDJ1GiZOmiwgxB8okHA+GcCLB37ewpaDPBesbgZE2Q9lQKxQwlwKcFqcrASAnDwp10gG8G43jh0/hsef+LWwV5GuiLAf0irl8WDkiBrMmDEDo0eOQjWF9S7ONuoxiZGACVdMqqieN3M5N+pBDAvCVjYroFCDB60WLwZ7seXL61W//WRKrtE77v8o9uzd3+uTOHXqVLGNM9uVYxgAe7p+fgXs1d7CFbABSI9bkiMLpyuDESNOYuHi7aiqbkIq5cKJ45XweHhfAFb8aRHa2kLnBEBe37xaEs49rgz8Po+wtpWlFehsbcOI6uHC5spkkYOaP09ORyi6O3kOZBAqCqGprVMSzaOxDLoiCa6MxpYIYtSL8B6WZhAqmXZlUFLpLFxOgiUmm6sLoTC2bk6+MJuKDDNbsdJwi+U7QQ1teSUDXSdjHA782b23n/e3ZPLUqRg3YYLoJrtdGLXdlpNpnLDhZNKhAwfQ3tYm911JereXc6oAJx2nTJ2KSVOm4NWNG6WdmhOdZuFzkteA14LX5NiRI9i+bRuiND+wlwGtACdCyz0VuL3ibaj0VeI3dU/gUPRAnwBEQhIcTpR6ShF0hVDgKsCh6EFE03qdujPT9JAlLc7hRLG7GMWeErgcLjQmGtCabDllff570BXEpIIpmF04R97Ju4bH4RETjJda1mF7x1Yx0Om5j3Mtjg1A+lkxA0BMC5YJJNy/f7+Ag57L0795BIsXLUBBMGS1PalVqzWJbz4RVg4I6W9mgLAFi44m6jAiLVh0abJE6gQdf/rTn7B69Qs4ePAAIpEYQgUhoc95PMwI0VYsIBZLyPs5mKYV74033ojhw4eJTsHr5aCYgIPMBx8yFMmbvI+8MEI5Xgnj0G4x0vx8fDmA1uYmHDl8CGvWvIA39+yRGTL2H1OQbgbM+pP784koXmbzvT4RwlPzUVlZLWGAxn1KG5wU8PCL1W3Ee+qXyVjhiuOWxcxorqNlE8y+ZWpVkinRndTW1koNeVNl8GBHVydWrlyJDevX49VXX5W2K2pYRo0cidGjRgn4KCkukjYDv88nVsqS52Elx5sWPLZlGUtej8UqqY2wxShZIEQZEL0uBB9sz5KsFea2JFOYMf9mYWbyF26H1y6/vWugEkL7+RWwV3sLV8AGIKdefJcrjbLyNtx+50sYM/Y4Dh4YgVUr5qO1tRAeTwpl5a2oPcEMDw/SqR4TKmf4HK19eTUCXj/cziwK/E6UFFEk7oAjlURpQRgN9a0CCjgxQgCiIkDrzpnOyARFaTCIhlgcGacD8ZgDkVgSiSxQ39whwnXe6wlAGDhI8JHOkP2loIT5IS55FlVVVWDmjOkoCAfgorodDtGMFIZLRMiZYrgs0uIiKE2vqRQ6u7pQkDl/QDB5yhTMXbAARw4fxuGDB+U5UlhcLHpGuiwyF4nPRbb+vrBiheZRxWJv4W/l+Z06nyOLly5FVXU11q9bJ6DOtG3LBKbHg6nTpmHKtGlS63UvvCBtx5L7Yi8DWgGv04tFxUtwc/ktiKXj+FXtYwIqNJft1IVjpBJPKW4tvx3NySYZi6xvfQmdqd7jUb6T6xe6C3FL+e3oTHUimU1iW/sW1CdOnrJhApkFxYsw0j8KB6MHcDByQEANQcttFXcikUnguYanURevQzrbmzk7lwLZAKSf1coHIPlWvAwH5Ox/z+XB73wTH3zf/QiFwpZA2Z0L5tNxvTpF5bZrtTYRcJgQPANAeHPnjYGDUQYSbty4ES+99JKlBQlYupGMOEwRgChI4sMlA4qYGUZ41113YfSYMfD5ffD6FIRIi5DkUlC3ocN9siE5VyzrX4wfltjwWl+Ers52ccLasGE99u3bi5amZgFL3IIyAh4J5KuqqkZNzQiMHDVKskI4OKcVcEE4LGF91IBoe5MEaViWjmoPaVqN8mfDThWhWxkgMgenbVjSJpZiwF8SqURaAAjbv1g/Psiqhg0TUmfHtm1ia/zUU09J0vnwYdWYPHEihlcPQ1FhIfw+r7hcBQNBASHKgGh+Su768yFM3QmvpWXBK190/u4hGOQgQQXqpj2LdsPiluV0isPMibp6XLvsnl6fH4KyKVOmyPvyLXjtEMJ+fmHt1S5qBWwAcmo5/f44br19AyZNPYQ9O8di1YoFiMXIbIq3od45hUUgW05/3P4tK194EV4n750eZJNdCIeC8Pg8cKTjqCwuQmNjK9xebQsVM0NO1AhAsO5/aSCUzSLmAbpSWbRH6YqYQJZi8dZO0XwoAKGzFXOtONllzSs5HSpKzwIMSq8ZXoHS0iK0d3VZLLBTNIejRo5AR0cLxk+cCI+3AK9teUPuwDTzmDK8rH8n2sda1cOG4ZrrrsP+vXuxe9cuaZuV87KeBcGCAkybPh1jJ0zAG9u2Ye+ePWpJbC/nVAE+Q265/XYxg1mzapVMHop7JCCM+8QpUzBz9mwBJptefln0ngagnNOO7JXPuQITCyZjacm1wjgUu0vw69pfoi5R2ycAISC4vvRGYTAIBiaFJuOFplXoSLX3ud+wuxBLSpYinU1jX9dezCiciY2tG3AyXpdbn+xHpbcK15fdiM1tr+FI7HCO6SA4Wly8FDMLZ2FF45+wu2uX/O1CFhuAnEP1+kpDJ33JGfaey1/8+Z/hm1/7EsKhsPTRauaGNcjPhfzxIWXN2mdob0tPd9LdBA+mzSspAYVceOOgiJp6kN///vfYuXMnOjupv1AhNFuJDJDgv5l/p5bg3nvvxcRJk8QNyx/wSfifhOiZYEOx4nWIswpBiLH51bYxKwVdhN4pteJNMw09irq6WtSfPImmhnrRMxCEUA/C3BEyDqWl5cJ0lJWXiyif+xAdCm1prYRwUzvNHlSdjDx0cm5XfJvJGFF2SFLPVSEvP7UFS11amILO40gnMzkAwvpwBq2iqgregB/NjY1YuWolHnvsMVRWlGNETQ1G1tQgXBCS9HMyGj6PFwXBAmFIpL40ErCuIYEHH5CcheO1EvOArIIvEZx7lTUR4Mi8ECsBnecuIwdxwcpi5eqX8OnPfqnX54epnbxu+e1XpxPon8NH2F7VrsB5VcAGIN1lI6ioHtaI97z/jzh4oAZrV89DS0sY6XRvpsPnYwArJ3j6tzz3/Ep4nG65/ziRQkHAh4qqCkTaGlHkD+L/sfce4HGVZ9rwPb1q1CVLtiXZlm1Z7g3ccQdMCyWUAGlLNuVPdrNfCBv2W1I2ZJNlk2w2fT9IKCGAaSFUY2NTbGxc5N4kWbZk9S7NaHr7r/t5z5Fk2RjjElg8h8uXsTRz5px3Zt73ud+7PO3dfbKBZGGKITdEOA9KjynKMQyIhZOwx6MoGe7BvlYveoNcUygXM6Oz28+sK5nfIwnGvmu9PBi1Sw+JSUXrUnJaOnokyieUIjs7E5FITDbZ8oflSHLg+LIxCAf9yM7OR2NLNzZu3AFvIAS/34+rLpt9Zjd6ikdlZ2dj0dKlIrE6uH+/RLfrhy51LSouxuw5c3DowAFh3kU1oMXD87Gcf/V1musPd/F57cdra8/6uk71RL6OzW4HQROvievA0ZoadLS1yf/rbIEKorHC39eH9IwM8VPwuR3t7SJt0u+Rm1ic61UITUKLtGfPlbj8vGTUKGHv9+7ejfA5sj5cR6685hpZnzesWydyNh68zrHjx2PCxIno8/mwd88etDQ1aXJvPf4eJ1+nFnzD51PWxevn+8c1Myc3VwAMN9Qo6eLmY29Pj7Bc9I7q7xVVER6PR9Z9fsZ0SZgKcbFg6owZ4lVh80we+ueB418+aRLWvvbaeX1/P6qT5duGYbhtuLAN5e5JeLblKbQN8YCwMrIYrZjhmYkxrlK80PIchtkKMM0zA+s6Xoc3pt7P/u8ONweMFpS5Joik6qW2v4I+kwVZi7Cx6220hAfqVwKQ0c4xcJpcqOw7hFBigGG0Gm2YlzkfU9IUAKn2VwmLci5HCoB8iNE7VS8QTm51dXUnnWX5koV4/OHfKwCiFfsi4RlUVIuwSOsuzoKWRb0u7eoHIDQFUoalMSb8wnLHggwI2ZCDBw9p/gb6FBjvapCOtNKw0GwVGVZBQaEAkEmTJ8mEyQWMxnjKscSjQOZE84NQ/6sO5fweMDxrZkcmdMn1qN4lnAzZq8Tb061M8/FYfxwvz2S3O+FypcHt8UhKlsof1iKIqTXWXkv1HtQM8ANzXf9kI0BIiyfuZ0S0rusn9gFhbCRBASVYZEB8aGpqkkmMRX1Ofr5IwPp8Xmzfvh2vvPIy3G4XsjLSkeFJh9VkRiwahtVsEeaDrInD7pDJWSRrWpyynvJFH0gkEhYZHHElgZckjWmmdL6uNCMclILFRDRKHshS/fGx1fjPX/z+pM8PzfwFBQWpHiAf4vuZeuiFG4EUABkYW4czhGXLt6G4pAmvvboAdbUFMIpPTZonacZzFo/U0kcQCtnO+I155fUN/YmGNqsZNpMBnnQ7rPEwnGY7mrr8Ip+1mgwCUiwmI6xOB8xMzHI4YYYFdUeqMCbdgmPBGLzRGPqiSThMNpFgidTKbEQkRtkvN04ky1euT0XFx5GR7sJnbr0BE8vGCMBhUp87zYM0txuhUAB2h1niyK1mO2pqm1Bb14JQNIbGpkYU5Wae8b0OfWBGZiYWL1smRSYZaoaI6MWmNH612zFt5kyMGDkS69askcKZPy8oLBQ2PhgM9p9SGG+3G/MWLhQ5F03UBAMjRoyQSHgWwfquvvImpomci6/Jx7FwJmPPuVyYGINBinJeF9cAgrSS0aNROm6crBFcB7xeLw7t3y/gQjFJSfk9C2uee0xpqWwgsvAeVliIzo4O7K6o0NbNOEaNHi2Sp57u7hM8MLxvStPITrz37rsC9HhdeXl5ch7K0/gY3k/loUPy53QH16Krrr1WHrJ2zRrZSCQoKiopwfSZM6WeoOyKY3QqczrvqbWlRRImBx+8voWLF0t9sm3LFjG687qPVldjzLhxUusQjPDnrDf4GM4rBBsc85mzZ4vR/VhNTf/r8nGUb18yZw62b916ghGe7zHfX47/669+MhpgGmGE3eTAJRmXYqJ7Mp5rWX0SADEbLBjtHI3JaVOxx7cbtYFjKHYUY1bGpVjT9jJ6hwAQgopC23DMzrgUR/xVOOw/LL6RpdnL8WbnejSHm054H/UNYKlxBio0uM1puKXgNgQTIXmd7lj3OZvjUwDkQ0yXp4ri5WRQWVl50lmGFw7Djk3rRIJF2ZPqucEd9IEeFtLoSQMg4gFhcZ9I9BvclQQrJvpa2aHSDM+c7BoaGiSad+3atfKFp6GZRTJfgL83cRfNYhVwkJ2dg2uuuRazZs/GuPHjYLYw8cqo/AhSGFvFnE1zIxkI8SdosijFROjyLF4vAUhMIm85wXLi4rVHwkxIUQuZ08mmgkaZzEnZM6fe7nSKCb0/opf3rSeCDaLZRUWldflVvVIGGBECENWMcCCpS4z7ccXKiBxKk4nxbwKQXs0DQi9KenoGcoflw+FySX+QI9VVqKjYIc/jXZtlCzCOeCQi/U1oBnW53P3xwpJgRYmblhhjMlAXHREZgA4Q+xPGZIfMJguDYk9UxLB8BoxGjeGK4d7v/QdeenXdSZ+fIk2ylkrA+hBf0NRDL9gIpADIwNAWFTfjuhvexKGDo7Fj60RYrDFMnHwEBQUdsFij6GjPxL49Y9HSnCNP+jASrNfXb5LZVuZzixFTJ4xFXp4LwzLSUPFeBapb/BILbreaxR+i4r6NMFGmxQanZjscBjMaD+7G5OlTsKe2BnGDHX3dfrR2ecX7YbaahH2lB82gzXmUzJaWjkFDYx3uvP0WzLlkOjI9LjGbh2NxhIJhmYvD4aAUfPEEjfZm9PmDaGnrkH4jnGvbGhrO+jPoSU/HkmXLRFFAwMCCmmsa/1A6Swafcyh316sOH5Y5lyzE7Esvxd5du06QQvNxLHTpdeBj+Yf/5jm4+055EQ8+n/LgwhEjsH3LFpnPRxYXC2PPuZfgYc+uXQIuuNnGtZW7+PSrkJWgVIwAh2smz01ZGot3AgmuSdNmzJBzs8gmY0O1ANf0rKws2bkncDpSXS3nXrRkiYAvFuCDZccEUnPnz5f1deeOHQJgyDSQqeDPWLTrAKexoQFbNm067XvADTgCED5HCvdkUsZmyfLlcu73Nm/ul12dKH9Wp1155ZViSicjMfjg+0cAyWuo2LZNxpVsFceutbkZtceO9QM83jvPTQDGGoW9wAhAyGxxDHTgw/dg1JgxYprndXH89IPv8bLLL5dxXr927Vl/7j5uT6QBfG7mfExwT8SzzScyILpB/PKcVQIcdnorEI6HMMo5GnMy5+OVtr+iJ9ozMEYGIxxGh/J9xPuwpftdBBMBkVnxZ+s716IpdOL7OHQ8WP9RvnVpxhxMTJuMTV3vYLd3p0i5UiZ0NVoXvBEhX+T9krD2799/So3ke2+/ivIJE5TJWorXQQBEq7SVBItGQNK2A9IrHXxw4mIxrVOzOgjiDdPbcOjQITCJq6qqSiRQ1PRKkpRRNSrkrpDHky5JWPPmz8fcefNUfwojRIpEkELzusiCWOyLiZ2pB5rySqRO/IcIojRDfEx1O9c+qXLd4v/QY3TVfXKB0/oFigRAdV0f0PSq7HklXdInuoEYXsW+9BuvZfzZ8Vx77AkeEeX74DnIMYn/I8oeKnFp3Fhf3wCbzS5ALGcYmx7SRBmWiY4LSHtbi+ymOZhQRZBAYCVgzwg3JVhOhyxUBDF8H0kSCUkji7h6z3QqeQBkKOpYl15xx2rw77hDxiLjiuvuRFPziSYwnjqVgPVxWxYu7uvhzi03Wy6Wo2zcOJSNHXvK2507fw8WLNqFl19cBKczhMlTqmG2MJad3/Ek0tL8koi15d2pqDpcgkDAfsbDFo0EYDEZ0NjSjFgoiM/efgsSCS+s8SAe+cNqVLVzIyuJdLdL/CGU0YiX0GSUeF1/KIrM9Cx0NjTCHg9i0crLMGZsOR567GnsP3wEiWQMt912ExqbmtDn9cvc7uvzoqAwH6NHl8DtcmDypHJkZ6RLqhaBCn0jao1iQC/nfeWD4+uG2fhVfHEJhMIRbHnr9MXv6QaCEqVlK1cKCCALQHBFZkL6S2mS1iNVVTh44ED/7jt/N3vuXOzasUOK5sHFKVmMS+fNE8BCX0lWdrakOhEwsJDl602aMkXmdDIXBAMcTx7cSCIjkKcZtfUYd/6OMioWy/ShUA6tMzUs4mddcokU1Du3b5eiZM78+eK93L1zJ44eOSIAhoPO85eOHSvnIqtBtmHpihU4dvSoSNAGF/6MqJ+3YIGs5ZRgUUrMwp7yLd43VRj0K85duFA2w2jQP91BxoTjzPF68403xIxOzwfHhyBp3549knj1fqZzyrcIHJqbTtw55/0vXrpU7oH3S5DEcao/frwfaPC6WJ/wGggOCVQICMlqMRaYYG9wKpfIuiZMQElJCba8+66wRvrB86xctUrkbe+8+eYZf8c+7g8kAJmfuRBl7nI80/zkCQwIpVNkMorsxVjbsQadUTUejO1dkHkZ/tr6HLqj3f3AgKlVjPOlbOrVtpfQGlF+D0q2mLS1rmMNGoL17wskCHj4mpdmzMX09JliWn+vZzN872N0/7Bjm2JAPsSIDTWi61G87IZOlD/0+NlPvo+7vnCHFK96FGs/A6BHx2oFNRcG3fvBCVjYAy39igBE/51+DSxmOcGR/WCTP7IhLS2tch1Cq8syoR5DarSsrByXLb4Mq1ZdBaOZAMQgOzkWm00ASH9DP/GqECgogzzBgWIi1N3pkjFNbaAKb2EemB2vAMMAKlZMhfJyqKJd+BQBQIoF4OLWD670iLAk/RHs3mtSfVT0TvJazxTVG3GQSZ3Ns3QDPA2WjMhl5/NoHF1d3Thy5KjIroYNK0BeYQG4U8Pr7erskCjhqsrDaKyvl11Fq9kEi3SHVwCLJnQucnYdrFksorfWx0J3zesgRLnh1YDp/g0uatIpnQwTkZ9R+T9q6xqw6vrPnvS54aRbXl5+QppYKgHrQ3xRUw897yPAHd2LyfB7OgBy9bXvYNSYBuzZNR7jJ9SisT4PlYdL4PM55eufm9+NGTMPIs0TwIt/WYz648PO+P2YP3uC+Ox8fT6YYMbUyWWIJfrQ09qIPz70DPYeD8vOY3Z2OjxpaUgwupyeOqsNkXgcgVAE6VmZiAfj6Gtvhsdlwrf+8Zv47z/+GVv3HITBEMNvfvUz9Hm9CAbDIsWNJaJwuRwwSeRuAhmMSjczvSuBSIxJV7rvjvCD85vyWXCziiZUblZx7meBvP+9bWd8r0MfyAL28lWrpCcUC2BuCvGcXIfInnPe5s+5439g3z6RRvFnU6ZPlzjZwZIgMs6Usc6YPVsKaoIOshrceedOPOVUE7kLDwg7wnWUPVC4JpKN4FzNAlpPilJ9n5Q2mIUzJUNvr19/Qgww53iCDYIashCUKZER4DpA+RCvTy/quX7x3DzXu++8I4BImAX6LpjaOMgnSqBEqRF7b9F4z2J98tSpAqzIGDBBkWsUWRKuNa++9NJp3wMyEwsuu0zORzDHwp/MB6+TRv8d27b1ez9OdaKrr7vuJDDAxxHwkcUhe8Vro2+DsjOej+uszmrw3rnGETzwfSGooqxLjwUmyNDlcbyf6bNmiXyaAIRATT6C2jmuuPpqYVfIjnxSDrfJjUXZS1DqHIunm584AYCUuSdgafYKrGl/RfqDqChekyRWkTV5pe1FtEfaEUko+SKZkWXZK/FO11toDpPpMEj8bq41F0uyl+GtzjdRFzwmyVZD2QwGXKSZ0jA/a5Fcy6G+A+IZiSTZlPn8JKKlAMiH/NTqxfLghoTUlJKNGHpcfeUKPPaHX8PhdKnYW2lGqAp7vXDtBzVa80HlKVAAhLMj32hpDkWZkW5OY8MozfzM57M/CH0O+/cfEDlYbW2dFN/csee5OLFkZ+dKFO8tt94Ku90Kk8UsRbWV4MhqUwBEIneVTEh1SFdNEXUfiN4OJMlGVVKBk+UgQ6OYiX7JlJi1NcO2lkyle0p0YCNSKWWh7J9s+brs28FJxufzysJaMGyYyKC4ALGzup44Jf4UTcImjRs1zS2viwZ0YUBiCbS2tGHv3n1yDpoFC4uLhG7muTjG1L/u3lWBalL68SgYKMPF16z1/6ARnZOg3cldONW/RGIxJYGGOm8VgcylWZgckaERiGlmey2eV7wgFovykIgMD/jz6hfwowd+ddLnhnHF3PFJGdA/5Jcz9fALNgIpADIwtDSfZ2X3Cvuxe2cZtm6ZLEZzSk15mMxMH2zDjTe/gXfemolt70064/fl1uuXgdOnr8/PUgGZmR6EY0Ecr6nGy3/ZgG0HmxFNMuY3E3ayArLRwfQtrhVJ6e1BQGGzudDT0QVzpBe3XXsldhxtxFvb9sBsTuLhh36DWDiAABsLUj4QDoLpfIk4C0OLeOK4eUUAEk8mEI5yPlUd08NRAiDFdMdjgC8QQJRy12QSgYAfwYZjZ3yvQx9If+Jly5ZJQUmvBcGGXohzDeLcS58Ei1V+HpnQRAAyeswYKXK5E64fBBAstCdNnYo9O3fKLjx33ekhqa2pEXaD98DnERjoxTEBiO6JIFtSOHw4Nm/adMK1UPZDnwevcWj/DG6YLb/iCmExWFgzbYrghv8/mEXhdRIQMfWLbAJZgMuvukqAFIHBYABCcz7ZDTIOvA96P8hYEDjRKM51jGsU/Ra83meefPK07wHvfcGiRfIYbirU1dbiSGWlMCA8B491r70mvztV+hXlW5veeacfDOgvRi8OgRLHhT6US+fORU5eniRt6YZz/bFcC3nvBJhbN28WkEHASCDB9V8HagRWfBz/zcfpLCw/D5QCrrjySsW4VFSc9efu4/bENHMaFmctE/AwFIDcMOzTwl7s9+2Dw2SHzWiX/hweczoK7IWo8VejNdKK+mAdagJHcHnulWCy1l7vHtiNNthM6vEukxsjHUU4HqwVKVdDsAGVfuUd0vuF5FvzMSt9NkY4irDbuwsHfHtFxjUYfPCx5yLDSgGQD/npG2pE58TFL+rhw4dPOpMnzY3qA9vgdrlUAzotCUufXAYzKizqKWUSE3o0iig71moFdjQaPlHiw7QTLWmDX0T9GtjZm1KsXbt2o6W5FT29vdqHSRnU586di5tvvhl5+bnSFZ0TOgt7q92hvAl6gKT0slAsABc1rTWH3rxdYzKUeVFJxBQAicfU9ctztAKccZGUMwXZPTzK2FqeU0v6EJmYARHeLwFVIiE7QdwB4gJD5oYRwjRjZ2Zm9YM2JWVTVbxKn+Lrk4VhGpYCbBw/Spyam1vFrJ+ZlY1x48v6GRDdV8N7pH648uABBPq8MCQS4v2QnH2aDZkwZqXBk2wR43SVXI3yNumQrvVgEQDX7+8ZYGgkhlczoosPiJ4ZuV4Dvv6t+/Dm2yfv3NAoyUVmKAAZCAT4kB/a1MNTI3COI0CZx8XUc+F0DMitt7+GgsIONDflSPxuW+vJ0bO5ud244dNv4PDhUXh7w6wzHv3bb1ouSzrlNTaHA0aLVbHEkQR++6s/4r1dNbK7mZmRBhd366MxOFwOuC1WxAk+KB+1m9HZ0wsz7EBfD/7xa3+Hl19fhw0VB2CxGPDnPz2IPl+PbE6ZLFbZThJ5LJcAaWYIaTgoQRncqGGbc2GwVdx4hJtOioaGz9cHIqZIPCmJjP66qjO+16EPJHtAyRLTpPbt3n3S543zH3foaZSmT4PzNgvYwsJC5Y0YFMnLeXfCpEkic9pVUSE77SyQeX49WYkFPQt+fq71gpeFPMeez2ciFK+JRfFg9oJMBYt/goGhBTqfRwBCEMPC+8qrr1abg3v2yPrWnzMPiASM10OwwoKdjACN2SzABwMQggo+jsyP+E2SSSn0ufbsrKgQpoVrxaTJk8Uv8eSf/nRGAITXyk7oZF0IEMhKEKBxzCdAJgsAACAASURBVAhKKO+inGyoD+SKq64S1mZo/zP6XyhBIwAhQ0WWhRK69evWnQS+9GQrJkxufPttkcqR5Xh348YTwArXXZ6H7zPBIsdVimQCELdbAB5ZILIun5SDfotl2StQ7CiRPiCDU7A+lX8jCFAogfLH+xBORBBNRgSUTE6bInIqX9wnvg42DLxSGhrmwxvzwh/3i1+EDAb7h8zwzJIeIIzx5Wu81blehpAMSbYlG0tzVoh5nclaBDOB+MkSXG5UsHY92yMFQD7kyL2fD4RejFN1ZX39padw6SWzJFFJ7wWhn0MHGMo/wK60mhyJvgLp46H+xGIDDe8GTwZ8nuqIrnqK8EtN/eRmabBXgT179sJuc8jiEggEMWnSZFx11VUoL5+A4uIiWVBoRCdDIx4VKY4Vnj0hsYsJL1ojm/5oXC0+mBHBZAG4cAWCAeksHgoyui0pdDblZ1aLBe0d7QKICDTkfg0QWRo/wF6fV5pY+QMBmdSZKkYpWW5urnRyp49mVMkoJbuS/PsBTZiMpfAolIIlhNngTlMkTCYpiqamFuzavVt2hqbNmCn0Phd2XjdJGkYRVx7YjyOHD6OjrUUM7elpHq3DcAKUmlGmQAmXpFsxaYySMAIUAUEqulJ5aFRXdP19VYwSJJ2Gk7vqPG+QZmD81dzF18lO59BjqP9Dj99NAZAP+WVNPfy8jUBHR8dF1XX6dADkplvWSeLVujVzpdM5+30MPfLzO3HDzeuxedNUkWqd6XHHTcthTAK93l7YXU4wMY/+OSTM+OlPf4WKPccQTSbgcjvhttuF7c3OyoKfyUnCWADsT5xgs1mzHR6bGddffyXeeHMTtu06KMb2Jx//AxKxkDQRpJE8Kg1R46CllKBDfB8KYSBG+S+9H2SYuXkkISdxeR12Ruc56P8gddzR3oZI68mJkGd675TgEFywuB8aw6ufg2scgcGMWbNQXVUlTATn9ort26Vw1YtTrrU0VadnZmLX9u1i9CYjwkKegIPnJyPODS/6SvQ4XD6Pm2icq8m2iCxo2zbxHuhgg0BBAEhd3UkAhHM1ZUhcSzesXYtrrr9eGA0CJBbPJ3g70tLEv8JIeHomWNhv3bLlhBQsrnc0vPN+CUAowaLigfItMgy8VsqbuOlHaRYB1AcBED6ORT3HbtPbb8u969dFMzjHiGCARnMCJ77G4OumB4TP0yVvuhz6krlzRXLFsSXoW7x8uZyH/ozBqWN8j/Rmh5Rt0YdCAMK1edNbb51wPToAoQeN/hA9glgHIMtXrpTrpMfnk3Kkm9OxPOdyYSieaiIAae1nHejHUImgqu7R2YdRzjG4IncVXmh5Hq2RZpFpUlZFhsTEFgb8b1CqFeN+CWaYgnUkUNX/eDIaGZYM8YcQpLzU+oL4RmJJ1SB76JFiQNSI/E1M6HyhwayFHpnLv1k0k2odevzzt76Oe771DS3K1dLvXRgwn+sGZhbQKo+df+tpWJKOpYEM9fq6HlcVvlyAJAWFzf8sFjGic8dl27bt2LTpXfT2+tDn65OfFxUVY+bMmVi0cAGmTp0iQIMTARsCSnFNg7WWMiUyIzWbi2dD9r/iKgWLRb40TNQWJVLl3V3d8Pv7BICoON54f4wvX6ePvwuq35Hx4MJlosyLNHAwKDpWgi4uAHYaxnNyJH5vxIjhyM3JkS7qBAt6Iz4lkR1E/ulSrwSjgSMCgrxeHxoam6RfyoiRRZg+c5bsOhFMEKyISsxoRHNDPRrqjqGm6jACfX1Iczq1Rl8KYKjMdzZwtIkMiwBEZGr97BBz+NU7PxQk6cllCnwSvLDZVwIVu/bhc3//f076vHABIQAZ3E0+5f/4pCwt/3vvIwVABt67K6/ehLy8Lqx+4grpdD4YgBCYuFxBzJm3FyOKWvH6q/OFKTnTY9WSmRKt67Db4PV7kZ6VDRjNEul76GA1fv6L/4fuQAgWqx25GRlIRsJAPA4TN0LY4cNiRTiZRFTkviaUDM/FT358P7717X/F7gOVsFkMePSP/w/JBOfohMTnsiEqmZRoQnk+mHpFACIbJTLNEnwYEI/GpLDWN7xY9HKe0gtzMtfRzrNPwaKsiOCChSZZATFsDzo4l3L+ZuoVpT1kQLgLT5DABCsWqTw4X2fn5oqnQliCHTtkl5zPo/yIu/M8PyVflGjRME4WQTfW8/445zLiloU/X4fFvy7T4q47gcv+fftOkGDxtTk+NGLz+W+8/jo+ddNNcl4azQlEBjMmLLgZL0vDPQEUpU0EInwtXWpMhoCGc/bQ4PhSTkYAQpaf8jOOGeOA9YQuArQPAiAEL/SmcLOPXpXB4ILPJ1PEOF2uyZQ2kXUZ/F5cd+ONwoAQwMg9G40CHi5bulTW6crDh+V+l19+ubwPPAeTvQZv0OoAhICHCVYEIG63W9iQwVK1EwDIzp39QFEHIDTTE+yc7z4vZ/p9vRCPIwBYmXMlRthH4unmJ9EUbhxIJX0fydNoZylW5V2N55qflr4eg+NzTyWRImNCOdf6jrWo8lf2P95udKA8bSKWZC3D+s51ONx3UMAJZwJuPwwGMVLvpCRYf1sAwlfTE48GmgXGZFJgV/Shx9QpE7HulWfhlCQP7qCrJCiRDwmYUABEdpdkZ1xDqlxEKCWKKinWAPBRUbMi+SEAiXNRULnkXHD4OMqiKip24s233kbtsTrpmM5mUpwcKO+55qqrsGDBPJjZK4Qxh3aHkohJc0DVp0M3UquCWlXXsSibD5Ll6BMTH4t8omv+PydHUuDcTRkMzMh48I98fLmo8d8aANEL63CUDA+TR6yyizNm9GiMHz9eGBCOidGkGhtysROTu8bS6IlYapFUXdA5JqFAEP6+ANrbO9DQ0IgjR2oworgY02fMkmx3tydNAwuSOgx/bw/aW5uxd/cudLW3w0rZFV+P75WmdyYLws7uBC8GSsfEbD/IeD/INChJXtq18v/FsEmGijHJBoN0If7ZLx/EY39+9qTPC69v5MiRKf/HhZjZU+c86xFgc7ChBeFZn+x/wRNPx4DMvnQ/5i/chaefZCGaJYlXRmMCFkscbrcfcxfsQcmoJry3eQr27x0rHdLP9Fg8p0yaqXrS3cJE2MlO2xhh7oLFZMUTjz2FR1f/BRa7WzZKzPEorAZIhHhY2gyakTBZETUwYtaM+7/3HRTm5eGf7/037KmqFgbkt7/9pWooCyAc49pikHk7muDmSBJhMiKy2UTfR0wFsyfj4o/j/Er2Qwp9jS0gAx4KhXGs+gjyHKqj9tkcc+bNk8haav11QKCvEfybxShlVdxlZ5FOXwXXhFmXXirSJUbrcp5lMUzgQK8f74GFNkEGvQTsNcKCuLW1VeZ3mtIJRMg8DPZe8PV08zdZBxbQ+uefgIBFPAtnFv66fIvP4QaSnsxEAHLdDTfI9RzYv/8kNoHXQuM475UgadW118rrUE7ENU6PoJ1QXi7rvXhWtm4VNobvF43wvE+CKoIkPqds4kSsfvzx0w4/i36yQxxDMhmDAYh4bcxmaeBIozvvWbqld3X1MyHXf/rTApj0op9rIg39I4qKBGCxHiCrwVQvrud8HZrwGSqgvxbvjb4PkWitXStpWRxvXo9e8/Am+J5TbkZFBO9RZ6p4nXxdAhCCMnpoPimHDkDIgDzTvBoNoeMfaPpm88DLc1cJAKE5/YN8GQQg1+XfgDc61uJo4Ej/4/lznicYDwgA4d+51jzQkE6pFqVcQ5mQD3qt070vKQnWWXxqB0un9GJbaF1t4hh6yo3rX8K0KZOktwS9BdK5Vsunlf4VesyhMAuaREkr1gfSrxT9JX0vJHGKO1xaNK2kMiURDIREk9vV1YnDlVXYu28/6urq0dnRCaP0BbHIBHn9pz6F5UuXwuNJg9PNzuhO1RV9cK8KDYgM9ARUC1JjQz0OHTyII0eOoLmpGRbKA3itUXZAV52/BwMm+X9qd51OOF1OkWVJqpTTISYyMgtkRMwWqzRtzMrOUV3TXS5hdGRXin4S0+CmiBozYzAI2JJdJa0xIv/t7/PD29Mr8baNjU2ob2hEQeEITJw8RTS93JUh8BMjucmIWDgIX08XDh3Yj+bGBvi9XpgNRlgtbOyovxYbYTlEg8zu8Vx8LdaBMRsshdPla4OlU7pEjobNcDiKldfdga6ugbxu/TPD7ucEiin/x1l8MVNPuWAjwILtVIbUC/aCH/GJTwdACoe3Y9U176C9LQsb35qB7m42WQ1j7Pg6MKKX5vSK7eUSw8seIKeSaL3f7a1cNFmMtuwT0drWBldaJnLyC5CABRlpaQh29+Bff/ifOHy0XhoRuukxMyjZlNrYMgEWJ8JGYNq0ibjnn76CeCSEe77zfVTXMV0phv/+758jGAoK+xGMcROLbEcSkZgBwUgUMbEqcI2i4ErFFyYSUZG+Mu6VclK19nALRkmAk3EDdm3fipIs81m/czQUcxdcl+xwrWKRybWDRTw9BoygZegLd+BVD6q47LzTd8AkQz29ij0yWCQPHzFCro+9Ocgi0LBOlkGP7KWPgEU8n8fHU1bEc3Lu5lo1f+FCATaSNqU1RmQBTzZFl0TRJ8GDjyc4YqoUJVrCalx3nYAeFtWM+tWBDM+vm7ZZnNMDwvvgGktWQgdSly1ZIq9PpofsEAEIN/tYJxB4sHAnIKFPhcU+JWyr//znDwQgBAdkMFj8DwYgarkzSJ1AdqicXdH7+gRAcHx5fZRgsYs7pVa8D4JGyq8qDx4UyTXX7zUvvywsCj0pNMkTIFDOxTEULw/Bw+WXC/ji+83ELH7m6QFhLaFfB039PDfBC1+PLIou+eLvKPP6pAEQDz0gOSslWve5lmdQF6yVMKDTHTSsL8paghdb/4Lu6EAc9fs9hxIsyqw2dK5DfXBg43xG+ixclrVEWBFuLhfZS8S4zqklkoiiJ9YtxnV6UNgZ3RfzYr9v71l/51MA5CyGTi+wBzwaqoN5TU3NScYsnv5rX/4CfvSDfwHpVO7k9zf8lqJZdRSn7Er5PaKiw9VBjp62JdKnZELM1fQvSLNAibFVqVnhUFhMgF3d3fKlbmxuRmNTM9raOkSGRd2gMDaxGK668kosW7oUJaNK5EsvsiIBD0xuor9B61kyqGs7US8n0bq6Wuzbu08kZ/SbCC1NQERTmNMpxjAuUEz9EkAjoMYkDZ24Y+N0u2TyYW8NekAIyMiAkB3weDLkcezToRvb9bdHugzLoeX5iqZRTwOLMddWxo6THScrLjD1Dc0CQto7OpCTNwxjxozDpClTMbxopAIgsqvEgYwh6Pfh6JEq1NfWiiSL/g4bU6ukEaJqFixpWA6nsEWUY9kdTMVSY6Wno3Fy1Pt9cEx0wzzHgOMbicWw4Z0t+OY9Pzjpk8fxmjhxojKti99EARx9wj2Lj2rqKakROC8jkAIgA8Not4cxbnwd5i/aJQwIgUh2Tg/y8rvg9zukCeGR6iIE/PZ+8DFpSjXGl9XJ76oqi9/3Pbl80UTxY2Tn5qC1pQOejGx0dvVgRMkYkJC1JhL40xPP49V1b0scrh1GsORPJGJIMpkqYULYYIbV7URJ0Qj86L67EQl68cADv8CR2hZhz//t/h+I36MvEoM/HEOAc2ZfEOEE5zEgHI4hHOE6lJBQDhVGojbN9PmIP+Pc6XDaYLGY2L8V29/diKklnrP+vOnFuhS6yaT4JmUtsaokQq5f3HWnn4OyJYISbvzR+My1kOZ1ggMWvSz0yVwQdLAwZ8M9mqsLhg+XgpVFtc5ckAFhlC/XDRbJ/J0e80qJE1ceGrV1AzTn5tz8fJCZ4M8Y0MCxIeNCUME0Lt3LQRM611yuIZRMUSbW09UlG0yUeHHtJuDgekWAMXHyZGFouB6TgaC8mYCJ56dsiqwP+4nwfeDuP/8W9qarS8DVmQAQXidZGvoy1r72mpJSDzkEAKWloXT8eGFDON40pdO4z+aK9G5wI5JrOVkkStIobeM9EtC9+PzzwlwQABKo8X0hsGDNwHMzkYzvKeV29G/Q/M60LyabyeeMG3xaHy39veHj+J5xA5Ogjr+n/Izs1yeFAVHRtwQgKzDeVSa9Po4GasQAHtaidU/1BStxjMKczHl4re0V9MZO3tgc+hw2IuRrvN315gmNCMmKTHCXIxAPwGKkvFTikYT1MBnM8jN2a9flWLXBYyITO9sjBUDOYuQG+0AGx/G+nwxreGEBdm97E07piE4pkZYwJQ38BiJkladDJYzoO0xMzqAmUpiWRAyBPr9MSuFwBEHKoXx96O7pRk93DwKhEHq9XtkhormZtHgoEkWInohQCEH+OxzC/HnzsHDBQsyZMweFhQVSGOuvyYlRL4C5paZ6ikCkXvR3tLa1okHTw3LypDSDEy5jb7MyM2ViyshIR5rHrbqAm1VylMPhkh0ixj3y5ojo+Tz6RoIRlTpCRoSd48kyqM7v7NZuUXK1WEwV9iI9U2NGSZhukCSQY++PYMAvkzGv63hDI1rbOuDtCyA9PQuFw4swd/4CjB1XBrrLpbGhMCEJRMIBNDUcR91RtXAZuQDSOM6eKGxuGOekSJ+NVVgbm8MujI5VWC2Vi69Lw0jt642zdEAi3c9FXx3F//3Bf+KVNRtO+uQRDBYXF5+S/UgZ0M/ii5p6ynkbARYOesF23k76MT7R6RgQkykujEdZ+TFcOncf0jx+NDXmYt/ucTh+fBi8vW6RZbFhoGIPjJg2vRLTZx7Cpo3TUX0aAHL9ipno9vYhMzcXEfoyIknZIMorGIb2rk7kZGbiaHU97vvBvyNhsMAQTsIsEs84DX2Iw4iE1QFLugfD8vLw5c/dgkynBf/3X7+HptYuiV+///77qfhFMJ5EIJxEOJEQwBGMJESqy/TAGPt/0K+n+fmY3CeABEaJNyejTmjCx3FzyGSIYd/2Lbh87qmbN57JW00PBAtVXVLL3XKCAiYiUh5FJoBrhp7GxmKX/2azQEbmkp3hGkEpNAEIwQGjZVkEs4gng0JfIYte+g5VZLpqOsiinD1D2FyQDWolUMRoFH8Jz8HiW0/Z0mVK/DkBDk3wXDN5sBDna+mm66UrV4pMi8CG3dwJdli0s27gPTFCVn8s173JU6bI6/E+KDuiHIvFP1+TzArZDxb0vHeyI2ykS+BF5p/XQgDz1+eeO+1wc5OQhneO3brXXz/Jx8In65tevC8CEP6hlG3zxo1S/LPXCTcUOXaMTeaaSeBGUDG+vFwkbwQiTCvjcwgaho8cKRuM4gn1+QRM6mwO2RZ2licQ08GfBLfQl6rJynUPDq9PZ224KUrgw7H8JBxWo1W8H1fmXo18W7709OiMdGJ773uo9r9/whwTs9gs8PX2V9EbU16o0x2UVS3NXq71BxloKPm5EX+HLEsWDvj24XjoODojHfDGesUHwnSuIkcR8q0FsJlskqhV6T8sDM3ZHikAcpYjN5ih0L0g/DKwK/pQSpMv8dyTD2PZkvlK1qP1kJA+EloxLekjmgRLfz6j50jH9/T2yGTBCZDggxMrF4ZgIKh5MYIIRSJyJ+xGywmbYIMLWCgclfg/+itYMHPSyMrKxHAa7GbMkII3Pd3TX9yzmOakomh2yqnUAPHaeD38w8mb6Sw8b093l0yg3t4e6SvC5lg8X1qaG07ql2m81mIeyazweYx2DIdDyrQeDAi4IXVL6REpdwIXfRIkg6L6j2jMh0TYKqA2ELcbRSxC43kA/j6fADAWTMcbmtDS1o7uHi8ysnJQVDQaK1ZegclTpqpGi4pHYl9fhMN+NB2vRW3NEclE52/ZA4Q7EpKLDdXDRehjt94dXTEgg1kK3XQuoQCaXEEihplolkig19eHpVfdJgldQ4/Ro0dLashg+VU/gDnLz2nqaakROB8jwGCLi+k4HQC5kOPwmavni/nb6fHA7w+gq7tXfHvCJlvNspvu6wnin+7+Hnr8EZjiBtgZCZ6MSXS6ye6EH0aEjWaMHV+GHI8d06aMR0tbKyxmF5xWK+w2i8hQfeE4eoNRRBLcgOK8TAASkY0dyrKkr4i2+cW1zSAbZ0piG41wzgwr4zuZ8ySwa8sG3LB82oUcnnM6N6VB3CCjqZqyX9VDRW24sdClvItFNItgkRKzqWRenqRn6X1JPuwFUIbEg0ZpjiVlc2TPCea4jg/2eJ7pucX/4HDIvTAcQk+GIogiGDu4b99pT8V7I2Dj+0egdioJlngYtYh/jhGZBjJRBGhnekycMkVYJxrSdRDFTUgevGaOh75xd6bn/KQ/zmywYLh9OGamzxbGIRj3oynchNrAMXRFTwRZrE0UGwFQtkUQQulUOBFSPcmGxOMOfrzT5ACN65RT0dehMx3TPDOkTwh9J6FEGNEkJZlsNqps6EaYRJrFjVleH3/H3iBne6QAyFmO3GAW5EzSsO647Sb81wP/JnS1kTtGRqP4J7iDz90LZc5WBm3u7rNg7e7pEXN7a1uLTIreXi8ioXA/I8KdIAITKXrNZthsdi1VKiQ7WgQg/kBQTNMFhQUoKi7BqNGj0NHRLhNAaWkpSkqKUTi8UJrvccLRd3dkN4kxUXRpG7iLx8UoLAlQAk7MJtXEys8JuxPNzc3CapjNRvFvuF1uaf5HEMOUFX1XjR9i9gRhKhY7ljPliywH6XT2vuDkrJvNeS3SUkTrsJ6IqQQuMiCUW1GOxjEIB0MymQf6fPB6ewR8NDU1o7WjA82t7WhqaUN2Th5KS8tw7XXXY+as2UhKBJZqhQjEEA71oaH2KI7VVKOmqkoSrhgaYEiycyhN/hodmUiIiV2xH2rh0r0eOnjT2QrudBFMSQ+UcESKh5fXbMD3/v2/TvrUcUz19KuU/Oosv5Spp12wEUgBkAs2tCec2OA7jmicMbBmKTK5NnAu5m495wWn24GEyYln12xDNJpEJBykZgrOpOrlkXS74I0mYDE74MrIRF5eLuZcMk12MLkZlet2Y/P6dairPQZrWjoKR5ejYFQpQhFxc8hWCzdnmIolyhwGe8SjKhWLUX9M3CXQ0Qp3rltk1Tn/7nr7Jdx2nWpwlzrUCDDlimub3vDwYmIRyThRRkaD/eBO6KnPRmoE9BFIAZCz/CwMlWHpLAjZh2PHTu4GSwP61rdfQ3HxcDFXs29FLBKVHZe+Pi8C/qAwHPKHTEMgAK/PJ6Y4Kda13QI+hwBFjz/UaWHlQ1A57tzJYiMp+g16vT64Pem4bPFiSRChca27sx19Xq/InRzshs5dMbsddqutP/2JC4zyICgjNhG17IJJR1rG9RrUohYMCjhigRII+gUY8JwsvglCTEaa1A2y4x8MqWjcXp9Xen/wMdzxp0Y3JzdHNKfSrE8M9rrJXvUg6Tc9sjFWKCTAg6/NcaI0LOj3o7e3G12dHQJA6IXJzsuDt8+P97ZVID0jCxMmTMaqq66WfiAqMYypWTGRL0QjATQ31qOmqhL79+4RMCYNCaXhoEn+8CBcITAhU5ORlSnjxmsW4JhI9Euv9BQTys9ooif4oCTu1i98A9U1J1OWTPziTuepzOcp+dVZfklTTzsvI8DPNb9TF9PxUTEglkgr3K406S5OXx/nDrfTKZ46zpVkkNu6/HjmlY0IBJlQlYAlkYCLbHoUsGRmoischc2eDrPdLWxtmtMFl9uBolHD4HFaEQ/4UHfwEJrrG9HrDaIrGMGiK1YhZHBJQh/7fJCVVrHwahNIdlRJQos82ICkUXVNF1mt7JYn8cbzj+COG5ZcTB+TD7xXSqKKR40SnwLXyYspyIFJYfSBUEbGXisXU4reB34wUg+QEUgBkHP4IJwqDYu0IpsSDtYr6i/xxc/ehvu/d4+Y92iWZtoSdZ5eb68YyClv4vMpu2LqBf8t8YgSU6u0UEk2fUomRWvJn0kTIe0FmOuuLBvsLh6TnfdAMIT8YQW48dM3Y9KUycgtGAa/zyf9LshGUMYknV/JyJBFofFLM0DrXhDFRCiJmC4J4oJE9obPZdMsJmr09HTD1+fVYmeZx07/hkH6hyh6Pyq+FfYAoQyLelya9phMpczwlH2dmHalxlh5Pvh6HNdIMKTkYIGAjFOf1yfSKzIx7W2t6OruEgaICSGxJLD2jfVwujwYP34ili5bjomTVA8UZXSPw2jgeUNoa2lCdeUhoctpQmenYUYVsxs6AZl0e9fGQCjw/DwBURwnHYDo7I28C9KY0CyAjVrpV9a+iX/+7k9O+YkbN26cJMAMZj/0CMpz+IimnpoagXMeAX7maUK/mI6PCoBkoAU2uwPhSExi0bnxxBhym40MtRE2ix1JowPPvLoJ3X1RNjKCORqHNQnEIzHA5UJAIr9dMFqccHrSRZ7KwA+j2QFEA4j3tcMY8cNpZbKfHTBZ4IskMKp8Frr8YQRjBsTJEHPO5YYXfR9x1ZTVyLREBpVoG0WS/sftqHgIu995FV+47fKL6WPygfdK6RKTpIY2M/zAJ34CHkCfCiVo9HrQq8LPcupIjcDgEUgBkHP4PJzKjM5CtKGhQbSZQ4+c7CyseeFxhIMB9PR0ShoGC2nZzQ+FZHeJBS3/n4BEAIcWxxuJhpX5jl3Ptd4U/D0XAL0/JXfbaQ4kZ8DO59z9p26zZNRoXH/TTZKSQQO1HEIrKCBEMEJTGAt6B9Od7DZhQ3QPw2BQoAMQ+hkICKSnR4TXFpS0qba2VrS3t4p0jOlbjAamL8XIxBa7A5mZGaJdzcvPQ1FREQoKCvq7jOtFO19D14byb0n5EoM5GxmGZWeOkiYyIGScaMCnB0UBkDZEYhF5rRWXXw67w4X1b70Fs8UuHhAmpowaPQaxqOgLJN6XGf4EIJ1tzThSfVgMhxxnh80Oq9kqgIwSNZEb8D0gC2KzITM7S66doOEE4EHHiMQRK+aGizUN6N+894fYtGX7SZ8Lghn2PRnMfqTSr87hi5l66nkdgRQAOa/DedqTjcpgkWZENJaUIA3O1+PHl8LpsskGTyyWRCiUxLHWPmx4d7cAFUssDlOMUl4jc8LkLQAAIABJREFU4nYbomYjPOmZ6PUHkZGZJUy76ltkgTEWRszfC0MkBLZ3knRDkfxGkZ6ZjRHjJyGYtCMUNyIcicv6IAmNsrOl+kGJ78PM5rcWYYYpkY2HenFw+wbcdcdVf7vB+l/wSjSUc5ON6VHcLFNG/hMPjiyldp+0g+wYu8lTpaGbzS+We/+kvZcX6n5SAOQcR3ZoXK5epJIFOZUZ/ZYbrsLCOTMQppk8ElSFtkTIUgrEHSmbmJVZYKsmhdxfYgM/MhURxYFziZIsXwIQLgeKNbDSA5KEpGFZbQ7RnoqJrrgYkyZPkYJZj4NV8bCqaSFBBCVZ4idhUS7+FE3nS9McC2zKxrTeI/K6BCBaTxLxsSTiIifjJEsfRm+vVzwr9KCwM7lKwnKK1Co7KwsZWVkCRjxpHinQ9UlYwI6WykXZEkGHmM1p5CZzIn/HEfD7BXQ0N7egtbVdydgCfpFnsXgnm1A+eTLcaR40NrfATb1zYZHktHNMdIZK9RdJIBYNobuzFYcP7Me7mzaK1srtcEoHe3Zm5/siiTZaZCHTZChhY/QwJ1pKJAj+dNShd1lXml8jDlZW4+//4d5TftoYBEAGSAcyOviQ9yh1pEbgIx4Bzg8shi+m46NiQArTohJ4YbFyvjHA1+eD0ZhEZqZbIteZKmixOFHX1oMX125BOJKEncx3OIJ40oS4zQ7YrTAmzbA5nIoR12Ld2b/IEAsh0N0Bo/QVUD2a4mJCT8o86ElzYezEqegImdATYvohpV0hAR0EIZKDZbRo/RiMsJAdZrBIsBP1lRW467PXXkwfk9S9pkYgNQLnMAIpAHIOg8envl9PkPdjQZwOO26/4QrYpfO4GWZ2+RbWQu0wsfgXzb/BILtPlCqxWZ5InuJsUqgACKNeFTDhkmCQ3h1kLCi96uzuEV8F9aeMtsvLHyZSIhrHBURoPav4P/JSRgPCAUqaVMQvqVLFetBwqDqOMpNdZEjaPUuqkzSq0tKkBnVr58JGwBQIhEXHTOBkshCAOJCeniH9UNhLQx0GMbYLoGEDIhURJq/P53Z3c9dPRfBKfHES4qXgbmBXRzuOHatDY2OjgA9G8RIskUVySVKVE2lpHmRkZSN/WCGGFQ5HZmaWxP0KOFQvBSQJwsLo7WrD3j278cbatfI6Hrcy0rudKvWK55bGi+wCbDLJ7iSTvsS7ovU7ETkC0QeBDZ0+ktiVwHf//efYtmP3SZ82SiDKysrkfDoDMriB4Tl+PFNPT43AOY8AGchTMbrnfOKP8Qk+KgASaNyvSU2TEvHtdDrgsFvhcFCCBcTCIZhNdrT6QnhzezUCISDDbEUkHELCYETMaofV7UIiTJZCm7OTar4KR/wwRMOI+nxiLo8blafNmGSqDSc19nMywe5yIa+wCO6MXHT6wvAFImJQJ5seZdsnMHZcdeZmXDk3ykJ9rWg6sht3fe76j/G7mrq01AikRuDjNAIpADLo3dBIhRPeH+4+paWxAFYmPCnKTYweTMLhiCMtLQqbLQ67PQazOYa6Oguqqqzo7lZekFOxIHNmTsaMyeNh1hgFFqpcIFTfjbi8iMiQ6Pcg2LAQbHA3Sus6myQA4e64QbS5asfcJD6DuHaRY8vKpGGQy+mCVYu11c8r7Amb5Ol8qBTJUWEP6KGgtIk7/iyISbHTQC9d1K02AT0i+yJzIxGMBDXqeiVBRUEU9V8Ccj0ETRIRaTKLz4QaYt1krroyas/QwBWBDX0woSD9L1EBPwQNAswIxJIJ8Z6E/AF0dnWis7NLgAq9LaFgSFgdXh1z1Zk7zgje4cNHYMTIYpFO8ToGLpUekCQS8Si8PZ3Yu2cXXl+zBvEoo4Ftcs9kQJzChthVLxcZC/YDUd3cybbwMQKqJP5OueYJqjhOh6pqcO/3/+OU3/uSkpL37XyeMp9/nKbKi/da+F2jpPJiOj4qAJIZbVHJiMmkasRmNiMtzQW7nUEhVlgdDoSDUfTFgMdfeAft3UFkGEwSaZ40msX/kbRYYTYyKCNN7bCQteVfkZD4Dhk7riSumrlcGHXAalRzMycwzvnctPJk5SAtqwC+cAwhNi4MxWGyMCZdpf9ZGQ0cCaG3qx5djZX44h2fupg+Jql7TY1AagTOYQRSAOR9Bk8HIyNGBPDVr9YgMzMCn88iYCMzMwq3m4BDrMwykROUWK1JHD3qwPe+V4LKSos0RGJTvKGHw27Dp69eDqeDfgwKqDiRq67blBsJF8LdeY3e5qLA12A8o2Jc1ILBZ1KfK/01jEbp/UGaPSc7ByWlpSgdN05JtRTNIZeh/qkAA7W7cv2UcSXZeCqM2pqj6PX2qGLb4YSLHcvNlv7u33zxfoO91umbvTqEudG6qavX4flNqtW40iOpYRCQofM96tqkIaD2HC68TGDp6ugUvwVlZewpQqmWFPcEgUYVC8xFNBgKSgpWb0+vSgzz+WQxpieFXcsJQtxujxjxCwoKNXZFY5mS7I/SjYyMnfB4dsBsakCfrw+HDvXh5b9moPYYX9Mk90+AwfeNkiwuzow8lrQv7TUIRPg7slXqNlWOPs3wD/zidzh4uPqkzwGDBMh+6MyH7iNJmc/PYUZLPfW8jwA13PRaXUzHRwVA0FMj4INzqlnAQxRWswnZOVmy8WO3O2X2DMcNWLe5GseaupFhMoqXMGYwI8TNHjYklPlHMeUyJ/FUEkoSQIzyKwng4JTKPEZuEBlgM5rF60Y2hMEb0oxPzObchHIgMysPnkw2yTNJwiJ9fJFEArkFBTi4bxe2bXoTd9153cX0MUnda2oEUiNwDiOQAiCnGTwW61On9uCyy9qxcmULjh93YvfuDJm0Bx8sigsLA5g6tRd/+cswrF7NBkEQP0R19cmFJ587fkwx5syYLPpZFu+U4pBt0FkOLhjcZddlT9zVZ/Mk1WCGm1p6x3RV+EvyVSyOdI8H48aXwel2i7SJZmw2CLRa7bIQidZXqn2dBJBWvfIP7nSy4VJzU6MAktxsMgfDBRyxAzj/FiYmxpx6mg+5SLGmN8qCKYlP2mKnmA36OYwA8+mlgSDXtAFfg+otyOVPHTwPGZ1wNIz21jZ5HXojCCIcNoecQ5EkSq4mhIgGRMQbImbKGPr6fAj6AwKaCM44ZpRKEYiolCnlf3E6GzFi+Brk5OyAwRBDd1chensDyMw8hkMHXfif3xbD57VIsx8BCSKTUoBEGCEx7BOYOOCR5otpIoPjYyWmOBHH9oo9ePDRJ0/5KSssLJQksFT07jnMYKmnXvARoLeLaX0X0/FRARCbrxYmiw3xJGAxG5GIheHxuAV0uF0OJKNBxBIRJAxOPPqX99DcHUJheobIZqNmCwKhiGxCMSaXnjS9aR3Xlc6OVi1OV2ed1Tuqen8ANosNkUgIFiPXJMpvVRNWnfk3W83iDbSaTHC67BgzbhKMnjyEDVYc2Po2GuuP4a47rrmYPiape02NQGoEzmEEUgDkAwaPUqvc3DB++9udOHjQgx/9aAIikZPNwfPnd+Dzn69FRYUHjz5aiNZWgxTQR48efd/F+8plC5CXndVf1EpndA0gGBi9aKVciNIq1ahQmAcW9EkgHImIxEcKeq3Yp6ckOycX48aPF0AQDIaEBWCXcavVpnV3HQAgqvJXsb48BWNyDx86gMaGejGkZ6SnY1h+vgAhKbQdDrUjJvGyBByUUnEFU307BEwJMNEYF+13/L303FDkhwI/vG7NUC8QRCRhTF5RaV8sesgMZWRmCNtAOYCcQ/AHr1djdnT0Iu+jujeOTTQc7m+gSAM7TfAcB/5tNhvgcrZh3LgXkZe3H50d41BbNwetLXY01B/H+LK1mDylGz/8XhmaGuxIJjT2iB1/tfvUo3kFjJjNApIEKIlfhiDEIruEP/n5b+DTEs0Gf9QIOsrLy/uN5yn24xxmsdRTL+gIEHzw+3gxHR8VACmw9iEaTyAtLV2M3pTfkoHi3BVl89VYFG2tbaht6sSW/U1iIC9Jz0AiFoXfaEJHrxcGbrrIXKh8ZTxiibg0V6VUV2SzWrS6mkYVI2yAGVk5Wejp7hAW2WhIwEokIslNKtUvaUjKJhOlwjZ3BkZNnIak1YWa3VvR29WOu+5ImdAvpu9J6l5TI3AuI5ACIGcAQNLTo3jwwR3o6rLhO9+ZjO5uq1479z970qQefOUrRxEOG/DTn45GTY2KbeXiUVlZeUovSHZWBlYtv0wSlGQXSiRG9HSY5WeyeNCMHonIueR3TDIxGBTlzs7g+g6V0ai6iTPetmSU9piQpKnIrr/4LkS31e+/EL+JVrTzV/RbHK+rRXNjI9o72kV/7ElLE8kRE6zop6DBm//WGRDFvmhmRpFgKbO4/Fw22hRAkrQwprVoPg+yMboUbDCGYHwwZVWS6mW1ioeFYGrwoRJbdJM3x0wDVbwXXb+m3Y8O3FQ/DgIDE1wuH8aNfQvFxTtw7NilOFozBwG/Az09XjQ31mHh4pcwbVoPvndfOZobHUgwCUbGSrEuYr7UGR5tB1E60Vutqku6Q3VA37BxC7bv3HPKTxgjiHNycpTPRgNzuvQq5f04lykt9dzzPQKUX+kNT8/3uT+u5/uoAEh1xUaYLTZhrT0eMr9m+cMmhGR32STQbHVg+76j2HzgOBCLYqTLjWQ0jj6TCV3BoCRbSfZeUjG30rtINq40r96gXkuqIauaTzmHGU0WZOXmI8ENr2gQYX83YiE/cj0u2G0OxC02VNcel8e73B44PWnS9LazrQWxaAR33Z6SYH1cP9Op60qNwMdtBFIA5AwACP0eDz5YgVjMgB/8oBzV1WknAZDiYj++8Y0jKCoK4P77x2LbNnc/a8Eu4W1tbad8pZlTJ6JszGiuDZInxd0ogg/KnbhTJc0GyXaIAT0hBmjR4MrPFCMgnhCTCVlZ2cjOzUFObp4sOOx1IU2jtC7eyoSu4QINFKi+IpRgkbGJStMg9vLgDhg9D+lpHgEmvA4uZnaHVfNBOGATYyQlYGYkEzQlAgWF9RhVegjHa8vR0jJGynMBSUjCYe/F3HmvoKNjOMJhFyIRByIRO6JRRg8bwRrf6zOgu4cyKbcAELILHBOFKwZL3wb9v/xS9Fz98jL+QzVmTGhmfhXvyyLf7fJi8uRNsNn92PreKkTCLiQSMfT2dCOZPIAbbtwAv9+En//nOHh7CTYVWFKd08k6KfAjPhfuHtKEL0QQvTyK/ejx+rBm/Tun7HxLv8jYsWNPkl6lvB8ft+kxdT0cARrQKc+8mI6PCoD0NhxEIq78YyQfMtOY2BeXTQoPmwwGAujtDaGyuQcHG3pgiEVQmleAUDiKIAxo6+1GkpJYswnxmL4xo3Uv195AzjN6ipWa1wziGZEkLCNDNhzSP8SYjMFlAzrbGuC2m0Uaa3W60djYCouFCYBuJA0mYWy83k6JCf5SyoR+MX1NUveaGoFzGoEUADkDAGKzJfA//1MBuz2OX/5yLN59N+ckAJKdHcE//mMVZs7sxm9+MwovvKB6Tcyb1wmLJYrHHmtFa+vJiziTTa6/ajamTAtieKGfXTjQ3paO+rp8+P02MVqzE7p4QxJJ2aUiqJDiWnqEDACQ3NxcWTjcaWkCSJR21wCHIwiPpxNd3bmIxVhQKyaExbkAEKWikvSo43V16OzooM0RK5Z34uprq7Dx7dF48YUSYQEmTe5Gd3cmQsFs5S9hpK7WOd1kSmDK9D2YOasC296bj8OHpqpkLxnjBIqKa3D9DU/D25uOaMyChIAOgimrAiCJJLq60rFr1yT09hbJedVhQHpGN8aNO4DiohqYLVFEI+yazo7wIXR15WHz5uXw+dK1x+ucimJHRDqgmcJ5LjYe5P0bjYw11gBOIoY+XycuW/w6Lrn0KB79YxHWvVGASEjpoAm++F4QCBJoTSj3YdmKNowe7UcobEI4ZJSAAg7mtq05+MlP2nC0thdlZUBJCbB/P9DUpEyfquu5C1arCbm5PKcZgQDflxOZnnP6ZqeenBqB8zQCjODlhsfFdHxUACRQdwAJsrexuGwAIRGBy+2QTQ1PVjYy84ehq6Mbe6uasWn7QYwbOQLmcBx9jDw3GdET6ENvIKA2tLSNk/6NGy00hO8j5yEBH7J5othxE9lqE/183FhyqFj0eFSif+1OJwxmI5LxOAJBn+z3kKnh4ynvbWttlD5Nf3dHigG5mL4nqXtNjcC5jMDfEoCkp6dLaumFOGgbMCxevPgER8D5eCF6QJhw9ctf7kJ+fhiPPlqMl14qRIKrxKDD5YoJA7JgQTuefHIkHn10hBSrX/vaMZhMcfz613Zs3lzf/wwl5QFmzAC++lUHZk53qFjdmAnRqBnNTenYvrUITY1p4s1gMhSb4BFYsC4vn9yJz39hP9xpUcSiimXgz6naqq0dhb17p6G5aRj6/B6UTzyARQvfwoEDk7B9xyUIBm2Ix1SHcVbiejQuC+yG48elS/u4cTz/MYwe04VNG8fh8UemCAj6P3dvxBvrSrB7Z4EYvAlABszYwPxFezBtxmG89cYCHD48vj/qUQBISQNuv+MvqNgxCU2NubBYY3C5/PB4/AIGMjK7BeStX78YR4+OEZkTgZHH48P06XtQXFyPhobhOF5fBH+fG2ZzAuPGVWLmzB14/vlP4cgRMi5DmRL1kVCGd/X/BC5IKkM+GQ0YqHEOo6xsNy5bXIHGBhN+8fMx6Ox0CSsjG4OaZIyfh7IyH266uQ4WaxJbNuWjscGNYMiIrKwQlq1oBIx9+PKXgwI6PvUpYMUK4LHHADZYz8rKxYgRI2CxmDBjRgBLl/bg5ZcLUF/Pnc5U48Hz8Z1NneP8jkBra+spmbzz+yofr7N9VACkcvdORBgwwlCRMJuqGpWEymBANBSG3WqSviAd3VFEohZkOu3w9voQgxFdQT88WVlo6+xEQjqUK6moAA1teCm5GmCSjSpxS6SzfDzloIol5uYPmW/KfDldcq6XaHUyJeIBSWiPMyEWiaCzo1kY4hQA+Xh9jlNXkxqBj/MI/C0BCGWstBBciOOCARACBRa6P/zhfkyc6BXw8dBDo04CIFZrAl/60lGsWNGK558fjocfHikLx333VcHvN+Chh3KxeXNDvyFdBx8//jELbODlF/ORiBfJLnhJiR9z5rWi/rgH614fheYmm6RDyaRvSKJ8Yg++efcehEMmPP6ncuzcmSMLR/lEA1aurEHZhOMIhWx47bVFOHBgHObP34k5c3bB4Qhh3boF2LGjHMEQxEfCylykTvShGIC21hYY0I5bbq3Costawfva9E4p/vTodGFM7v/xa3jumXHY8m4+4nFlRqf5nSlZaWlJXLHqMKZNr8MrL1+CA/tGaYsW3/IEsrK8uPuev+KFv8zA5nfHSKKVxRKX6zIao5g3/ygmTerAG+vno7qqWD4ndkcEU6dWYdas/aisLMG27VPh8xLFEpwkMX5sLW6+5TWsWTMP7703RWsrcjIO1c3r/QCEu32aQMxiDWPSxEosXrITJmMUDz1YhG3bMhDwWxSLJK/FJpEG5OZG8Lkv1oDxzI8+PBaHDmQJk8OF2eUOYenyakyY2Ix77wXeeQe48Ubg6quBP/wB2L7djLKycuTkGLBihRfLl3ehqipNAKvfbz3pM3Uhviipc6ZG4MOOQHMzi8vzvrfzYS/jb/r4jw6A7NYCRmKwm43i/7BZyBbHpPcGt0oSySj8QSM6Oym6SiAQiaE3HEIgGEKaOw3BaARGi2LPB2/IKAM65z0lKdV+229IN4vsl00JFXtOpp1S3P7ERIl/16LTtU0ZhnJQutvX2yEA5Iu3p0zof9MPaurFUiPwv3gE/pYAJDMzU4KULsRxQQEIGZBvfrMKy5a1YcuWbEnCYvE9+GBPkM9+thZXXdWMv/61EI88UiQLwI9/fAD19TY8/HAuGhvj0pyQO/BpacDDDwOjRwN33w1s3WrE1MkzkJ2RgfSMBFZe0YS585uxdk0R3nm7EKGgSiFxusK4+549KC314Xe/nYzt24YhFlcmQiK8wuFJXHnlHkyddhQvvsiifAJWrKjA+PH18PvtKCzsxFNPLUZlVQ76+oLij6B5ml13CSaCgQ7MmlWJJUvrEAraMXKkH7t3D8djj0yT1/j3/3gVf35sMnbuzEYkwthb1RyRXoj0jCRuuOkopk5tw3PPTsW+vYUqa14YiASys334wf1v4NlnyvD6ayWS4MLnqnz7JG66+RimT+/Aa6/NReXhETJORcVtuOaarQiFLHj11dloac5Gop8pSGLOpYfxqevfxauvXoK3356kSePUTh0PYT2G1E5kMchgMa3LaiULVYWVK3ciK6sPwaAZx445sWFDLt7bnIHubruwJXwsPwfXXNuI62+sx8svjcRrL49AOKxSZigfc7l9WLZyB6ZOjeNf/gXYsAG47TbgppuAX/8aqK8vRnGxB1/6Uhtmz/bhrbdy8Prrw9DW5hA2bCirdiG+KKlzpkbgw4wAv0cEIBfb8VEBkPr9BwBEYbdakJ3lFoY2kYgKYxqJMtmPpnIz3t1RhZiBcxMQMwGdXp+Yz+mX44ZQP2AcJMMiANEPeje4Pqk0QSUtFSluP0OiUg25NtCDKKZ2NkvXGZV+ZiUhDQ4Dfp+cOgVALrZvSup+UyNw9iPwtwQgDP3hZvuFOC4oAGHBescddbj99uMSxXvffZPg86nCUz9YnH760/W4/vpGvPpqAR55pFgm+J/+dB+OHHHgscfy0N5uQHt7O5qbG7FsmZLlfOc7wBNPMAIX0uxu/rxL4XJYMWqMH7fcVoN4zIDVT5Si7rhbFohxZd349j/vQVOjC/f/cAYiEXZJZ267CWkeN4YPj+Hqa/Zi5syjeP55FuXlWLVqF6ZMOY5XXpmOyy9XqUwPPbQIra0qzYvPlUhdI5CXexzXXLMfHR1mdHV5sGx5Iw7sz8OjD08XFuC/f/kiHnhgHuqOuRGNJqTXhXTVTSTBtLCbbzmG0nE9WP1EGQ4cyB1Y8JJJZGYF8LOfb8Trr4/Enx8vlQa94s1IJOFJN+D22+swYUIXXnxpNioPD4PTGcbCRZVYtOgw3nyzHBs2TEA8NjDufF+u+1QFliw5iCefnIctW8ZqeVwa9OjvGaJhEA2U8HnxmAInTmcEly06gukzjiMSMSMaTSIz04fs7BBeX5OHJ/5cIkZ0jg0DBv6/r1cjzRPDf/7HRByvI52nJ3zF0e3dg+//oAfp6cC3vw1s2QLceSdw881kQNzo6hqFL36xHfPne/Hcc4XiJerr4xeCAIdA7ERQeyG+KKlzpkbgw4wAC1NKsC6246MCIK2VB2EyAzYGfthVAmJWuhuhcFB8Y3RqeP0xvLW1CuGkBb29PlhddvhCIaXp1SSoOvvBzRNdckVwoaLT2b9JhWco+ZV6DNkNBWLUNMp/80+IAETYd+kKorEnStqVSMbEIxIJB2UuTwGQi+2bkrrf1Aic/QikAMgHjJ3yaiSF2fiHf6hGTY1bAEh7u+0EIzoByLXXNgkIeeGF4Vi9eoRMyL/5zW4psPftc6Oz0wTG6VdWdmLJkiCWLAEuuQTStFBjy5Gbm4NZ06fCamNx3YCFC1vwp8fGoKIiVyb8xYub8Hd3VeKFF4rw3LMlwgaoHhxmuN1OlJV58embd2HUqE48/cx0rFtbhptu2o3p0xvwu98vQHFRF267rQLr14/HSy9NkmQvtWgBDkcYixYewtRpTXh6dRFy8+K46aZj2LM7H3/841QS9/jN71/Fd+9biPY2O9iWhAuT+hMXD8Stt1Ge5Mfjj5XiwMFM1fRDGJAk3O4Ifvv7Ldi1Kwv/9bPyfgDC187ONuDOz9ZhTGkPnn12GioP0yvRjc/cvkue//Tqaag5mq29W+qcfF++/vVNmDq1CT//2RIcOpTf30Vef83Bb6++K2i3R+GwR9DbS51zEjk5IaSlxdDTw5QZoGz8cdxy22Hk5QXx61+Nxdq1w2ASsNOIG29swBtvDMNfnmeTQqWF5nnrjtfD7jyG1auV2fzrX+f7DHz5y8DnPmcQmVVpaQLXXksGqhDvvJMrxnMV7avYlRQAOfuJLPXMCzMCLIBpQr/Yjo8KgFxs45y639QIpEbg4h0BHYDorQhUe4eBFg3nc2QY0jQQbHQ+zwzpXXdOJnQWs0wGGSp1VpLXJBYt6sC//utB1NU58d3vTkJTEztzD9wEC8hVq5pxyy0KgDz7rAIgbGBYWupHJEKDuTo/wYbVGsP27cAVV7D/xomDMbZ0DIqLizF3Thdu/Uwt1q8rwGuvjZAHrbqqAXfeWYOHHhyLDW8OE/+BABCzGS6XBbNnt+POO3cjMzOEp56ahJdfHo/PfGYvZsxoxi9+MRfd3Q584xvvobDQhwceWIDGRtL8zIBPYsyYLlx77UE0Njrw7DOFmD+/CzfeVIeKinw89CD9FQb89ndr8c/3LITXa+kHECITSCYxfHgf7rjjCHJzQ3jkkVLs3ZOlFdZqR81qi+O3v3sPnV1W3Pud6YhqDR0pb8rMTuDOO2sxZkwPnnxiEo4dy8CiRcdxzbXVePutYrz40jiEQzRCqoPvi90ew333vYPi4h7cd98SHD2aqXlATv/hGj7ch0kT2/Du5kJ4vVYtplf196BULBaL4JZbDuGaaxtw6KAH3/nOFIwYEcRXvnpEggj+6+fjUV3tZgS/AJCOjk4cqjyMSy9N4MUXgW3bFPA4fhz41rcM+MpXLGhudmDUqBBCIRO+//0JaGpyaqbzATCVkmCd30khdbZzH4GLFYDkZGUhOztbY2jVJoNsNmhbKheXI+bcP0epM6RGIDUCqREYPAKsfMiut7a39/dCu5AAJD8/X17nQhznDEDYeI7g4PBhD8LhgTQiHYAsXNiB++47iPp6p/QCqatjatGJAOTKK5tx6631WL16pJjVefz61+ygnoannx6Gnh4j8vICmDKlF3fc0YJ162L40pcgTMLQY+LEcly2yI6/u6sWlYc9eOTIhrCPAAAgAElEQVThMVJ1r1jZhLvuOoI/Pz4KL788XHwDOrXuSU9gxYpGXHttDSwWFsNj8NxzY/H5zx/A9OlteOCBWWhudmH69HZ84xu7sGFDEZ56arwAAXdaBCtX1mHqlHY893wxduxIww03NOC66xqwefMwPPTgRLnEBx98E9+6ex58gwAIf84FeuKkLnz+89VwOOL4w0NjUVGRJfyHSqCiqTGJ++/fJQDl7m/N6G/oSK1xZmYcd9x5DKVjevHYY+PR0enAV75yAE4nI4zLcegQzd5K7qRig5MoLe3BPfdUICsrjG9/ewFqavQY3vf/iPG5k6d0YPHiRvzpsTL09FhVPxWtGZfyjMQxblwH7v2XA8JK3P6ZObjiihaRiL27OQernxqJ7m4CsDi8Ph/27z8ggPKznwV+9Stg3Trg7/+eng/gpz9Nw5e+FIDFksQbb+RgyhQftm7NwiOPjEIwyC9DCoBciAkhdc7zMwLsO8FGhBfboeK7Fejg95x/dLbzYhuL1P2mRiA1AqkRuFAjoMtAdfBxoRiQjzUAoXeDaVfr1g0TaY4OLnQAsnx5G+6557AAj/vumyg72icDkBbccstxPPZYCdaty5f3i/G9+/en4amnRqCjg5IdNpWK4le/qkRlZRJ33hk4JQDhm3D11aW4++4ukXv95jfj5HwEL/feexC7dmXiF/81HtGYMh6yiC8uDuDmm4+JpMjpjGHr1lw8/ngpvva1Q5g2rQs//OE0NDS4hDn4p386gOLiPvzsZ5NQXe3B6NE+fPGL1WhpceCRR0bD6zXIvVx3XSM2bszH735XJqXyE0++jbu/NRvNLXbpEC6HgU0KCX6a8bnP1SAcNuF3vxuLze/SAzKA0oymJL76lWrMX9CO7943BUeOuFUTRSMN7DHceecxjB3rxR//WPr/s3cdYG5U5/ZIGvWu7b3aXvduXLGNDTa919AJkOQl75G8ECCEJBBekkcCIYSXQujVYNNtMMXgjntde+21tzdtkbRadY1m9L7/yrLFer3F7Nrr9Vx/+qRdXd2588/V+p45/zk/ggEODz60h53DCy+MOAI+jn0F6HjXXluNq66qhlYbwYMPTkVpKaV8MTh0rOMR8MNmemS655zThsWL6/HccyPY+bJ6Kt+ivqJISvLjiSd2w2jkcdWVs/D9uysxe1YbnvrLcOzZY2TsD23O9u4tBc+HkJ4eAx+XXw58/TVZKwMtLSb88Y863HBDG776KglLlmRhwgQfbr+9Fv/+dwE2bKC6LMdS4M4yo6GB+nsmjduPEfD5fHC73f044pkxVByAxE0y4qmm8ZstZ8ZZSLOUIiBFQIrA4I0AK+p85NEZgPT3rDMzY6TAQLTvzIBcdVUDhg3z4L33slFRQZWxj20MKb3qrruqcM01dSgrM+FXvyIR+jGQQidEfS680M76PP98IdavT2bn+cQTe9h4b72VDacz5jwSjfL44x8PQSYTcdVVpAHp6DImo0cr8MwzRmap+7//O4JdKLOZ0o72IyMjiN/8ZjSqqoiJkYHqkJAF8Jw5rTh40ISRIztw4IAR//xnEXPwmjiR0pTGMAaHUsrGj2/HQw8dwJo1KXjxxQJMnerETTfV4qOPMrFyZTrTM95wQy2uuKIBGzcm46mnYgDogw824LHHRmHXLsvRGFH6Wk5OALfdVs2OT7H5xz+KjoKw+MlRjEhLQ/2efbaYHTseZ51OwC231GDMGDezOSb73/vuO8QsjemaJG7OCRRmZgbwy1+WMdBFfcmZjMbrTZs2zckMBUiXsXWr7TjtBY2fnh7En/60G3q9gCuvnImf//wgsrIC+NvfinDokI6JQ/fs2cOsjMlYgUwFXn8dUKuBHTtIhK6EzzcCL75Yg5ycMJ5+Oh9btiQxsPXjH1di+nQni+OhQwRmjk/96815SH2kCAx0BDweD+hxNrZEFiSR/TjbLInPxmsvnbMUASkCAx+BuEFGohlGHJD099EHNQAhZuGaa+qxbl0yEwjH07Boc22x8AxI0KZ39eoUPPXUiKN3rhM31wRArryynm36aWNLjeqHkF6EGBCHg/zcCYBEcPPN9bjqqmZ8//v5WLWqDoFA8Dj9yeTJwB/+IIfbnYRnnilhAIQKDZ53XisTxG/bZsNzzxXC71dg1iwHE8FXVuqxZYuNpU8Rw/C3vw3DT35yCDNmOJh2hUT0tJknwPKzn5UzZ6f/+79iTJrkQnGxF//6VxHTucRdva6+ugG7d5vx+OOj2Pm8++5GvPZaHgMqcfBgMvFYtMjOABjNxWSKsBS0pUuzGTigGBIrQs8EfH796/349NN0vPBC4dHNN6WM3XhjLQgcvPBCAaj6PAEQGuedd6io4zFAaDBEmNaGzmnHDisuuMCOd9/Nxssv5/dqzY4b186KRlKc3ngjj805sdE8ifH6wQ8qmNvZbbdNw/33H0B+vh/PPFOIffs02LOnlHnkE1ArKAD+8hcgLS0mPB89WoZ//SsTmzen4a9/rYTFIuCf/8zH/v0Wpvsgt7Bf/7oMFksYv//9SAYiJf1Hry6d1OkUR4DSr4jpOxvbUSvvI+lYEvA4G1eBdM5SBKQIDHQEEpkQOtaxYqn9c2QaLyMjo38G62KU78yA0Ib89turQXfiaeNcX69jYnGNhpyLGnDHHdVwOFT4+9+LmX1q53QZ2rDTJvzSSxtZn717Y3oEEq6T8Pi113Jhp7QlZnclIi/Pg//5n3KsXWvCs89asWtXFUIhqkwea3RXnTQFVNBu6VIOS5eOZ1UcSbBtNAq4++4qnHdeCwMZND6JpGmz/NJL+Wwze8cdVcwymOZC50UaBtrslpaa2Ps0Xyqs+B//cZiJzqkCeWWlgYELAl/0/iWXNDJNCwESEmJTo5QySgmjsWgcAg5Tprhw551VqK/XMmaE6qXs22diQIyAHaVLlZaaGWgjxuKpp3Zhzx4LYy14PlbfhI533XV1mDu3lTEyPh93RHOjZSCBYkfMBG3eZ85sY+CDGA8a9+GHyxjweuCB2Bx7ajSHH/7wMGy2MF5/PY8xPHRZiEmieYwY4cG991Zg+HAPVqzIwDPPFLOfFy9uxrJl6XjppXY0NnrYNSJWj9Kthg0DnnySKp3L8Itf0PVKZW5XP/lJA/Lzg3jllTwG/mKWu8Dw4V489FAZmpo0eOaZYUfWhmTD29O1k94/tREgByxi+87Wlgg6JABytq4C6bylCEgRGMgIJAKO/gYfNG9K7yINyEC17wxAaGK0sb3ppjrs2GFhm1ISCdMmlBgE2pySroM2x/T7rgDI/PktLMWINt4HDxrZuVK6FBUppLvzsTvdBEDIS13AddfV45JLWvDSS6n46isltm6tRiQigKrFT5wI3HcfMGEC8MADwHvvKTFq1CiYzQaWxpOczGPOHAcmT3YxdoBYFrqjX1ZmxKRJ7fj+9ysZUCI2gUAEMSLEdGzcmMQ2/bSZJ9BFtrLXXlvPUrNok0xjxIr0RRmrQkAmHJbjBz+YzM6H6qEQyHr00dEMmFDK1M0317INPG3mW1o0uP32KjYnYk2IVSKGZOlSqvatYGlMBGLoeImpbHEAQmM/91wsflRZnhgRAkgEMCiOOTl+BhLo3JYvz2DnQqlYBQU+XHfdjF6tLwKZlK4WB02UchZPKRs71s3AGl13Alqk96mu1oKu7S231MJiCWD9+iizTqZ6H1OmADU1JM6n9DTSgKTikUe8zHb5qacK8dOf1kCvF/Hmm7nM+SouRKFzWLiwmaW97d5tYevD6YwVySFDBAJuBCC3bYvrWsAslqdNc7FYxFP8qH9+vo+5tDU2avDllwP3JetVcKVOQyoCLS0tiHTlkjGkzrJ3JyMBkN7FSeolRUCKgBSBvkRgIEBH4vHPCABCG2VKY5o3rxUtLWoGNIgloOetW614550ctknsKl2GNuyzZ7exNCTa9BMzEQcgVmsY//53IdOPHBM3ikwMfvvtNZgwoQM7duixdy/VkGhFejrpSYARI8BsXSm959AhgOM4XHNNHoLBJLS3q1n1cNrcUiOQEAzGgAVt4mnjT4CA7uDTOREIefXVPHz1VSrrG0OFUbbR/u1v9zFw9Oc/j4DDEatvQuMUFnpZqhIJse+6ayr7DGlPKB2NjkWMB7EF5CT1xhu52L49tlm+9dYapKUF8bvfjUJJiYeBIdJxkCZlyhQnS60qLzfi178efVRLEwcgxIJQrL7+OpVtwuk8KPWN5kQMDzFTVI2erofXq2R6Fkofu/zyRqZx6U2jc0tNDbKxibUShFjsqFHqF7l4ETNBeo89e8wIhSjOHZg9+wAWLw4jORkIBIDWVmDXLuCtt2LWu5RjOGJEEhYtckOvj+KNN3Lws59VgecVzJbZ6dR8y9yA2COa9+LFTfjwwyyW1kaNtDB0zQhgvfLKsbQy0uMQ2FuzJpml1sUbMWE/+tFh7NplxeOPj+xNCKQ+UgR6FQGqgi5tvHsVKqmTFAEpAlIEpAgMwghQBXSqhD5QrV8YENqYElggITVtfmkjSnfB6Q41MQOUFnQipyL6LN2Fpw093bVua1Ozc6X0ILrrT6wIbWapxUEIpWJptWGcf34Lxo93IykpDI7jIYphuFzA5s3AkiXAvn3HaoV8+qkMdrsFr78+EpEIxzbglNbDKtnKo8jL8zEAQIX1XnwxH/v2mdm8Ro92sw0q3SVPBFDJySGWokVpXDTHuCCazodSp0gjQq/jgIqAwrBhXtx1VyVSU0MsNrRxJjYkEolt4lNSQsjICLD3SANyzz2VKCz0obzcwOKane1ntVIIIMVTsGjuBAiIESA2gMakz9Lxaf4Ud6dTjepqHbPvjVnyxoASxYBS0GpriWHoXaPzoBQsShejVDMCTNRoPmST++abOaiq0iEUAjo6PDh06AAMhhBjPCjtinS5ZLO7fXvMRtlmS0ZWVjaUSg4mE2AwAA6HBnffXcvYs48/zmLgtfP6IRaKDBDomeJPjVglehADQqlq8UYaHTILoFQuWo/xRvEkm2hiiki/JDUpAv0RAWJr7XZ7fwwljSFFQIqAFAEpAlIETksEzggAMhCRobvZtCF///0sxjLEW6LDCqVjpaf7kZnpZ4DE6fSgrMyJAwdid9lpkx3fuL70EnDxxcAvfpGGqqoiZsEbF/Ckp4cY00FpWXTHndgPYjsodYk26TFw8W3HJboLT6JxAhtxdie+uae5EjCgdrIiafo8sUi33lrNwASxJZTuRACDWAZqNCdqxCDR3fzPP09jLMdANopp/PzUagHJyWEGOO12NbxeciujGgBROBztOHDgYLdpKFarlRWOJJqPWKpEO7nRoz3MOIBAAzFpdB1IA0Lgh9YFXRM6nsEgMIZIalIEBksEeJ5HK/0BkpoUASkCUgSkCEgROEMjcNYCkO6uV2ebRyp2RfnW9Ox0OlFXV3dc+sOoUcCrrwI5OZSaZcTBg8NgtUYxY4aLaULIsYtSdwjw+P0nZmzO0HU0oNNO9P6nu7+UflJdXX1Et9P1oYnWy87O/lYlz4Gs5jmgAZAGlyKQEIFQKASHwzGkYpKSlMQqnEtNioAUASkCUgQGJgJkXtLqcPS7m9XJzpYMnCyWY9kkJzvOiT7XLylY/T2p3ozXFQiJV96lAmA1NTUMkMQb3U2fOhV4+ukYCFGryblJwZgOSsH55JMMZiUcDHK9ObzU50gEEsEHuf5UVFSAvkTdNdJ8pKamSuBDWkVDMgJDsQhhyfDhKCHLulPc9BE3Zs0ugOh3QikooBBk6HB5UFHRiuRUG6ypMmjkCgTkEciMyVAbjag5XAW9aESaRQuvN4RwNAxOY0ZWdhYa7BUoKM5EZXUtho2YALM1Hc52Nzy+DhBpreGU8Hu9kIsiRIEs/uTgeRFRcAjzIvbu24XRE4phTtLC3tiMjjY/eK8PGclGeDx+CKIRHn8URqsKMkSwqylyiiMmHU6KgBSBMzUCZeXlKDt48FsAZKCF5t3FSgIg3USHNr/xQlf0HAcg9Oz1ehkIiVthxjQPJKIGrrwSoFohJKKuqEjF4cM5TEROmpC421JfLzqrqs5xmLXoKqTnFODj155FwOc9ysTE072O6lhkMQCk1uig1RuRlT8Mco5DU81heNwuhAKk34hCTABRff1SsXMgjcuRdDO5QgGFgoNMLgenVEFvNCM1MxfWlHQE/V6U7doEt6Pn1JGufP6p6Fp5eTkrMHiiRvPJycmBzWY7DnzEtDixtDipSRE4kyMwFIsQni4A8vlbL+GB+66GjPfB2ehA3eFapCQn4cvPt2PkmHxk5evAIQiIPCzmPNgsmdi+ex+EqAmjR+ehobYOQtgFbXo+RkyYgtbWFuj1Fqxfvxmjxk4GL8jAE9CQR2G0qWA0qeBoaYFWJY8VkoyKrNYUHxGg1uqwdOky3HbHLTDZ1DhYdhAN1U2I+v3Iy7KitqYGoaAagqiAzhBBVIjAMv66M3kpS3OXIiBF4BRGYP/Bg9h/4MBReUB8P3S69kV6vR5msi0doHbGMiDxeHTHhNBmmFKB6CS7a+RzXFhYeFSDcDIXnTb1uUUjccG1dzDdybvP/xntbc1dOuHQ+AQ6sgtLMG76XOQPH4tIJAwhEkFUFHFw9xas+3Qpgn4fm3YikDBZkzB83FRkFQyHRmeAKETQ0liL0q3r2DOY9CQKAhsarQ4KTgWVWg2VWgtbagbSsvNhsiQhOSMbKo0WKpWazaWx5jC+ePdlNFYf7jZWncFHb1OuCGzl5+fDZDIdBR8EOOj3EvgYoG+3NOxpicBQLEJ4ugDIly/8Hd+7aSGiwQB2fbMTNZUulBSnoLrGjXNmjUJOvg5JFgUiYRF8yIT0zFzs2bMNgBKjJ5Zg34E2HKpsgj3gQ5PDAz5IfTXQakyQKTkEwwHwUQERIQKVUoX01FQE/F4Y9WqkJFmg0aogk4tgJvBREWUH9mLhBXOQlGpAu9OF+so6+B12RENtiIR9UCrNUHIy6NQuJCfZECi44bSsQemgUgSkCJx5EdhbVob9ZWXsZmz8huxAVTjvTXSMRiPoMVDtjAcgbLt9pOIubYY7MyEkCK2qqgKlRXTXtFotCgoK2N35vlaXjAOKa+65nwEDj8uBt//xB7TZ648DINRXb7RgytzFmDj7fMjlCjia63Fo73a4nW1ISstEalYuNn72PgMF8Q0/AQpiSWYtvpr18XW0w15XxVgMYlz2bF6DbWtWMtaFAIglOQ2jJs2EVm+ANTkdepMZEZ6Ht8OFtqZ6tDta4Pd2IG/4aIyeMhs71n6OnRu/PAp6OseqK9aDYkqxpQ1Xd42ETAQ+CE0T4Ig/On/JBmqRS+NKETiVERiKRQhPFwBZ8Y9ncclFM1F5sBwNFa3QKZVIS7WguaUdRSPykZQmQ7JVB1GuAqfLQnJqEsrLNiAzORXW1GS8/fF+bDvoBqeMwqgzQi4a4fNQCq4aUUUEap0SCrUKvABw0EIMi1DIiXkOw+tzw2TQMQASCgUQDAUQDgcgCH7IuBC0WjUQ4DF7UgnkkRb43Ha0uwIoLszE8OEGtLa0wTfsplO59KRjSRGQInAGR2Dv/v0o3b+f7UETTXlOFwMiAZBeLqbOIKQzECFbzObm5h5HIwBSVFTE/oNKBCLdLQDaSJ+z4DJMX3gZS3Hye9146//+p0sGhFgLAh+T5yxiczmwaxM2f7WcgZYoZRpzSphtKehodyAcpDoe5P4kR0ZeMRZddxd7vX3tZ6itKEMo4IclKQ0zL7gC4VAAa1cshas1Vn+AmI4R46fB1+FmoMPV1gxXqx0RPladmYBPalYeZi66kh1z7Yq30VRb2WV8jtkfk6tXLNWttraWic1jBSJP3IjxyM3NBYGQ+Beq8xfrdH25elwMUgcpAicRgaFYhPB0AZCvXn4eixZMw64tuxD2RmE2GmG16lBVUw+VVgNOH4EsKoNCLUd+4SjojVrUVZdj6uQ5WLt5A3bua4Zcb0VemgomjRoBn4iAT2CZtmq9GuA0aO8Q4A9yUGqt8AWCzJGPbMH1Gi18fh/anQ52F5B+19baDLUK8IdckEGAPMRj2phcjCk2or2tAmqlCmq1CrZkFRrq7RDH3XISK0j6iBQBKQJnYwR2l5YyABLPDjndN2kp/YpuHA9UGxIMSDw4iSCEXtNGORGIdHR0sI1zTxWK6aKTQ1NWVhb7zygxJaurzfKwsZOx6Nq7sGvjKoybPg98OIw3//YYYxgSi5HRZyl9au6lN0CrM2Dnhi+xbc2n39KKJF5o6k+fJ4Bw008eYXqOL999Ba1NdUeBBAGTeZfeCLejBetXvosOVxv7zDHaTsaADeWFJc7FYLZi6ryLkD98DLZ8vYKlfcXBSed40s9xvQ25jFVWVoKcfrprdPyMjAwmNo9/mRKBRyK9OFCLWxpXisDpiMBQLEJ4ugDI/ndegErFQ8vpoRB1TBunN6pwqNqO4aNHg9OJiMpMjJWglKfUtFRs37kPjc0RNDpqkZ+Vgt//z39h7HAbPO128OEQamproDeakJKRh4jcigZ7CO++vxqfrt4FudqKSEREhBeh0xqQkpyGtjYn/B4/OAWlb5HGLYBw1IMIH4QsGES2TY6SAg6Tx2bB5WhBUnIKfEEv6htaoJxw1+lYgtIxpQhIETgDI0AAZE9p6XGZIqcrDYscsEiIPlBtSAGQ+Eb5RClZBEZo40zi9J5SsmgsSsuiOhVkP9kVGxIHI6StGDZmMvZt34Dbf/57Juh+82+/Q8Dn+ZYIXWcwYd5lNzEQsmfTamz5ejm8He1M99FVI2E75R2TvmTavIvQWFOBxupDEMWYuxcJySfNPh/TF16ODZ+9h53rv4Ag9Oy6QixN8ZhJmHH+5ag6sBdbV3/yrbkmOlvRcShucVF/T+lW1J/YDmI96K5hV+Cjc4rbQC1uaVwpAqc6AkO1COHpAiCeL5fAatVALnLgZHrIZCJEpYj13xzEnAUXYMzEMWhpi2JPxQFok22Ye+E8rFn9Jdat/Br/ceflKMpOxdgxWQh5/Gh3taLNVQN/uAOFRSXQ24oQViSjxS0DL9OAD+rw218/AafDDYerA0aDFYgqYTXZwIci8Ho8EPgAtAYZWpz1UKs4yMMhZJqjGF2owIyp2Wisr2Q3rpy+FtjtbYiW3HOql6B0PCkCUgTO0AgMNgBCtdpoHzxQbcgBkM4gJH7nvjMb0tuULBqPKChybzoREGF38+VyqDVa3PXgn7oEINSncOQEnHvJ9fC6XVj98VtobaRq37GChV0CELmcgZOuWBc5gYjRE3HeFTfD2dLExmuur+5xnVDqVVJ6FmZdcCWUag3WfbIU9vqqoyAoUesRBx5UV4WYj960xJSrzjTiYBBV9eYcpD5SBE42AkO1COHpAiAtK94BpwyDU2gBUYNQJAheLqCi1o1Lr/4+duzZjbIKO3iNBdqC4TBl23D1FTOQpvBj3+rXcOncc5GbngSNRoN9+3eizdUEhdqCgoL5+PTLZmzd40dVcwjG1DSkGJtx4YISrF27Ad9s2gatzgy/LwiVQgUF5FCrlPB7AggJIYQFH2OVlaIAo6ID58/JwoRRVtgbKlBYkIu6psPo8Pjgyr71ZJeS9DkpAlIEzrIIxAEI7ZUSizOfLgaE6rXRDeWBakMSgMSDdSJdSDwti1iQhoYG+P3+XsWXdCEERMg1q/NdfNrYk+D7noefhM/jPo4BofdmLLwcw8ZNZQLz8j1bEInwSM3MgzU5DRqdnv1M4nASl/Mhcu6iFKxvsyN0XE6pRE7RSJx3+c3Munf9p8twcPdm5qLVU6PUq2nzL0bBiHHYtnYlc8+itITOwI2YDkol6S3woC8Lpa0RZded1uN0fZF6isvJvt8dgOxpzDNZ+zJlyhQUFxcjPT2duczR48CBA9i2bVuPKY49xeVMfp/i0NvvzJl0nqcLgHz19+eg08kAkW7yaEgpDlGlgDl1BDT6IuzafxBhQQaVMQm8Jh2W/BwUj07DDZdOx9dvPYrxVhlGpalJ9IawXEBEISI7ZzR+/8cP0NJRAJ88H21hwB/xQe4tRaYphLvvvRdvLlmK+vpGaDR6RMJhKDklFGRyEhXhJ+csIYAoBGjlcmhlbtxw2WgU5XJosVchNyMHNZXVEEQRtSnXnEmXWZqrFAEpAqcxAhIAOY3B7+9Dd2UZ29kpi36mqsW02U4sXNjdXAiIEM2ekpICpVIZAyNyOQwmC+791V/gaXfgjWceY0xIfA4ZuUWYf9lNCIeDWLv8HfB8CCMnzkBByVgYLUlQqTUMQPg87ag9XIZdG79iovHOAESpUrMULhrLaLGhtbEOZTu/QWXZLrTZG5iOo6tNMQMuKjVLFZtz4TWoLi/Fhs/eh9ftZOcdB2utra0gdoj0Mr1tFAcCZRSLzuAj0WL3TNxwnwhg9PX3FMsTnX9Xv/+usZo9ezamT58Og8HACkMSMOgPcEDj3XDDDQxsdtUoVW/lypUoLS3t7fIZUv2GYhFCukCnC4B8+s/noVIooZKroOZkiHJhCEoR193yExw4zGPV2jLkjS3Azo3rgKgCoSQTVIUZmDNtAual6bH5rWcxd2oO0lQBRGxWjL3kejzz7DLUVXSgRaHDdY8+gkNNDuz6YDUqVn4OXcgJk57DkrdfwfduuQVhQQkhqkKSLQ0tjU3QGThEEUEwwGPC5FwY1DpU79+JO2+bCD3XBiHghUalx56ywzAbDagxXTqk1rd0MlIEpAgMXAQGGwAhDS/dXB6oNqQZkHjQEjUN8ZSsOAsSBySUOtHY2Njnu5dEUZFzVmpaGkwWG37wyNPocLbh9WceZbqKeCOr27mXXM8YB9JxjJl2LnKLRzF3KkdzA2M8dEYzcgpLGBghd6wNK99jbliJjWx3ybmK0rkIbBDzQqwG1Rz55osPGRAJM/Yk1ijBK2b9a2bOWLMXXcUAz86Nq1BfeZClb9XVVMLe1MSAWE8C/cS5kDiJGCHKEeyJ9ehuAz5Qi/tkxqnnDHoAACAASURBVO0MLBJ/7s3r3h4zEWD05nVf4rdw4UIQAOncDh8+jCVLlvTpGnce4/bbb2eWyt01WkN0HDre2dbcbnev9GVnWlxOFwD5/PnnYVAbYVBqwMlDkKvCUJu1+K8H/oBX39mKL1aXw5CiQqpWgeraSgQzjFj0oztRua8Mv73icjx653WwyJ249dK5UOcWQ1YwEa++/hV2bynHDf/9Y8y653q0uAM4/MlmvPDIY4h4GmFQCvjxD+9Ec0sLXnvzPai0VlD9JaorJSKIW266GXv3HMCWrcsBXg6zlsMjD1+EaKgKRqUMUVGGbTtKkWQzo0J70Zl2qaX5ShGQInCaIjDYAAhlOFA62EC1swKAsI34Ea1FV2lZiWCE7uASG9IbkXriRaGCfqPHT8Rj/3gb7W0teO3p33wLgMxYeBkmzbkAB3ZtRnJaFqwpaYzlqD28n/WjiuckKremZGDa/IsYWNi86mNm0UsV1i1JqXA0N0HBKWCxpUJrMMHZ0ghiRCbMPA/jZ5zH0rfIJauh+tDRqaVk5mLuxdcx0EEWwGZbMhOx0xyryvdjxbLXsX3jaoSPpGH1ZqERIiaHK9LExG3iunK4im+av+vd/N7M6bv2SVwf8bE6r5nO6yjx586vu5tPoqtavF9ialrn90/084mO8atf/eqEdy2WL1/OmJCTaWPGjME11/QupYRAyJ///Ocei4CezDwG82cIxPfkEDeY53+iuZ0uALLyuX8hzZaCdLMZIt8BvTGKh3/3KPZUOPHcm+vg9VlRUVOKJx55AI//6XdYcM/1mHHTFTDIFYju2YNV/3gS+alyjCsZjYMtXmhzxuOFl1egobYDUxedD59Vi3a3F3Wb90PhcyPKOyCGnbj1hivRam/G5i070OGPID23ELPmnovGxnrs2VmKUCCKQNgOuahEqkmPm28Zj/ysENKtavjdQezctp8xIAe088/Eyy3NWYqAFIHTEIHBBkAyMzMHNApnDQBJ3FQmMiJxBiTxmVKSPB4PqxvSWyBCTERe0XD89Y1P0VhXjT/efxdkUZFV/qa0lYVX3YqRE6eDD4WY3mPtJ0uZ9W2s1kdcaB4rPpNTPBIX3XgPq2y+9F9PICkti4GSlW8/HwNSMtnRRSGDjN2dO++K72HE+HPw+dKXmLYj3oh5OWf+xQgG/aziur2+GiuWvoqKg/vQ2tSAdlcbfB5y6+q+ngeNR2IkYnzo0bmY4Ikqdw5m8NEZdHQGHPF1EgcXXf3cGaz05tvamfFIBBidX3cGJr0BI90BkF27duGDDz7ozTSP6zNv3jzQo7ftu4Cd3h5jsPWjvxm9TeUcbHPvbj6nC4B89fJLyElNR0F6MhQRD1TqMLQ2C6YvvAbPvbEe5dVBKDgeHnsdRC6EZ957GY0yP6rLD2K8VodQeSnUYjvqGuvg8AnIGz4dTz7zJnjRBGN6DkJKDrnZ2ags3QdvezuUSh4quReP3H8PrEY1tm7eAo8fMKfn48PP16Ct1QGVTElCFCjUAsSwDEkGPYYN43HtVSXITdfC3eJEY20T5EIUuxTnnkmXWZqrFAEpAqcxAoMJgNAej1LrB7KddQAkvplM3FTGwUdnxyz6mbQQvQEiVKl82KjxeOqVj1BXdQgPfP8adLQ7GWAgbcSPH/4D5l14NdvoU/rTFio+2H7MWSpxU0pVzC+45nboDWa89OdfYvTkWSiZOB3vvfCXLoECfZaKEc684ErsWP8FPlv6Ept3KBwGz0cQlckxZ9EVuOKm7+Odl57F8ndeYbVKiHWh+fQkpCbgQbmAiYxH3OEqrvHoXNdjsAKPrkBHZ+evRKBBa6MrYBJfP/QFiqetxT/XFWiNp6nF40JfbvpdV4CDxk40Oejudbxv4jNpNEpKSrr8u7F161asWLHipP6m9BWAfBewc1ITPM0foutP7OlQbN0BEJksCoVChFIZgUrNQ60Ow2Dws/odJrMXFosXScnt8Hh02PzNOLS2WHsdoo2vvYkUiwk5SUao4INWK8KckoQRk8/Do0++BXdQD1EGRAMecJwALs2AlKJs+DraccOC8yBzt4IPOqFShaFV65CSUoDf/M/fEZQlISDqEI1SgVQOCkTARwTIEYZG044vVzwHs17AoX378dRfX8GOMidUliIIETkCbhcg48BpOEDgoFNqoFfW4J57piI7TYa2hhZYjTa4nG3YKczs9blKHaUISBE4PgIauQZFumKMM03AV44v0RpuYWYQQ7ENJgASv+E8kHE+KwFIPKBdbTS7YkTodz0xIgRARo6bjCdeeO84AELH+8EvfodJM+bik2WvYt0XK+Bqa4HBoGesAm1EyeqXNqW02aR0qytu+SGMZiteffo3rNbHxFkL8PKTjzDdB21w48JxGpvmNv28i3D59+7FlnVf4q+P3X90zRAw0Gh1eOz/3oDJbMHj/303m19PoIMGOBHwiLMdnW11B7PD1YnSqeIAozMr1lk3RPnfpBOi2FOKTTgc7rV7WndfYLr2BFDpmaxCKea0FroCHSeKd2JfOhaNRVoNyt/s3Ejn9OKLL56UDoRcr26++eZe/z062wDIULXgpQveHQAhwJGT2wyLtQMpqU4GOAh8+Hxa8DyHUEiFMWMPwW5Pxsrls9HWZun9Gnr7fehVCli0gFkdgVYnIi07C0pTOhpdMryzfDVkagOCPh+MGi38fAAzzj0XY8eNgbulCSaDCvsPl4L3NOHGKy9BXmYe/v7CEmzeXYM2jwpyGGE2WcAjgIDbA5NejrxCBR78xTWwGgIQgkHs2+vA43/+EGFlIQzGZDjs1dBo1VDpdIjwUXAiB6O6GffePRn5mUD53mo4HUBlZRVsc+/o9blKHaUISBH4dgTkMjmSlSlYnHIxUtWpeM++DNWByi4BCGWDUH+b0gadwgC9Qo/qQBUCQszllAoyUx+VXI1UVSomm6cyYBOKhqCSqVAfrMPylg8RFIIQIbK+arkaaep0TDWfg1xtHsJiGGqFGpX+CnzasgIhMYQo+g8MDSYAQvsR0jcPZDurAQhblJ20IYkakURGJP6aNp9ks0k2tYm53gRAJk0/F4/+7TXUV1fgwXuuRbuj9ej4N//w5xg3ZSZeefaP2L9r6wmdqiiVq6hkDH7626ewd8cm/P0Pv8T8i67CDx/4HX71o5twuKyUFQaMyctjd8ppY3rlLffi+rt+glUfL8M/n3jk6JohUDN1zkL84vfP4utP3sc//vdh5rZ1IgBC+g5KG6OFR6lj8U1vZ9DRVU2Pwch6nCiNKn49u7re9Dv6YpAeKP7oizj/u35hKbYEQij+VMyRxP5xkJF4PTr/rjMQmThxIrPKjbuUxedFGhBKjzqZ9vOf/5zNqzeN3LA2bdrUm65Dos9QteDtCYCkpTtwzoy96HDr4XSa0dSQwsAH/YVSKSOg9y+5fA3Wr52I7VtHQxB6L2rcu2QZTHoVLDoZtCoeBr0MUXkE2fnDkZk3EvsPN+Dtj1fC641ABgWmTZ2JklFjIVcoUTisAP966V9ITk9BwNGENKMKV1++CNakJPzy8WdQUx+CXGaD2WSF29sKZdSPgiwLrr1lPsZPTkKSKQK1KEN9rYgf/uff4RELoNLaEPS2IsR7oDOaIEREmDVmqMVmPHD/PIiBCjia/fDzOnS4PXDnzB0Sa1s6CSkCpyMC5H433TITC5LPR1AI4e2mNxio6IoBIfBhVdpwQfJiOHkH2+NsbN8Ab+SYGZBSrkSetoCNGRZDqA3UwMG3MXAxyTQFS5veRl2wBkJUYEClUFeEaZbp8As+1pfGLdQWY7RxDJY1vY3GUAPr219tMAEQ2oOYzeb+OrUuxznrAUg8Kt0Bkfhd8s6pWlQ/xOVyMTAiRqOYOnsBfvP0S2iqq8ZD916PVnvD0Y3+hVffjMtuuBNvPf801n+x/AiI+PY1ofoemTkFuO3HDyAtKxf//vNvsXvrBpSMm4w/PvcOVn/6AZ7/y2MxzcYRACKXyZBXXMI+M3nmfPz7yd/io7dePApOlCoVfvmn51AydhL+9PBPsHPTuqOV1ONHZ6yLxcIWGz0S06o6A5DOd+bjIGhAV+lJDN4V8EhkOzpfS/qZriO5GBHoOJWAo6fTIxAZByNUmZRAYmcg0hUwiV+bgoICxogkNtKBEEPR10asyh133AGyou6uUSyfffbZQRXHvp5rX/vTuumLfXVfxz+d/btjQBQKgaVfkTSNwEUkooBIdTtkUaSmObH44vVodxmxetU0uN29A6/xcy17+03IZSJ0ahEGPZCRZoDBqMTEiRPACyIgU0KUa9DqCcOWORyC3IRXX1+KGbPmQKPT4smnn8R//+y/8c1Xa9DUsA+33LIIo4dlAxEtPlm5DWu2lMLj98PEyTGyMA1Tpo6EKU2DSdOHQaeOQC0o0FgdwE9+/g80dVih0aazNC27qwoqFTGWSugVBpiVQdz/X7NRkBkFIhrUtXpw+HAFai0zTudlk44tReCMjsAw/QjMts5hjISFs2Jp0xLYw01dAhCL0oq5tvlo512wh+wYbhiB1Y6v4IkcKylg4Ay4OOUyeAUvtrRvYoCC9m7jTROwIPkCvGd/B3WBWkSiEcakXJByEVy8A9vat6A90s72c5PMUzDLOgfvNy9DQ5AASM/113p7EQYTAKGbn/QYyCYBkE7RPREQSbxj3nnzSu/5/QEUlIzDfY/9FfaGWvzy3uvR3Fh3FIBMnH4ubvvxgyjd/g3efe1faHe0HRWf06ZeZzCiaMQY3Hj3fcjMLcCHb76Aj5a8yIoE6o0mBiKKS8bii4/exifLXkOrvZEVJBw2chwuuvZWTJk5D5Xl+/DCXx7HwdKdrIihXC5jbMqTL3+E0h2b8Oh9dzCLXppvPNWHFhiBj0QReU+goysXp4FcpH0Zu6vrdyIASb+nDSOBSAIeMWZp8DcCiXTN4kUfTwQY42CRAAiBhsRGAOv5559nNV/60oiWvfvuu5ke6ESN6o4sW7asz2P3ZR6Dse9QteClWPdVhE7ggzQZc+buQPGwWry3bAGcDjMDJn1pHas/hVqjgNWmQ2qqHsXF6Uix6WDUKeF0NCMcDEIhUyOisSBszERYlYIdeypQUVWH4qJhaG20o93einCIx9SZhRgz1oQROQaEHD60OaIIRg3s+5+bbEBtxX5k5KQjf0wJ5FolBCo42B6AvdaPXzzydzT7DFBpsqFTa1DbXMpcC9UqOZK0yTAredx+00jIgtUw6S1IzrciIoh4/3BBX05X6itFQIpAQgQo/SlLnQUCF6MMY7DMvgQtnTQglCqllKswyTQZRfpifGB/F+nqDEwwTcIXbZ+hI+I+OmKc1WgO2RkwoRu5OoUOF6VcimRVCl6oew4hMXj09zmaXAZmCLCQ9Q/1vSLtasaOvNbwEkvJit8M7o8LN5gACO0vKPtiIJsEQE4Q3RMJjzvfRY8DE9rsUXXyex56gtX2+MsjP0ZleRm7m06pWslpmbjpnvuYUH3J83/Ftg1fIxQMghiK9KwczDzvIlxz2w8Z4Pjsg7fwzovPIhjwM7BAgGDEmIn46aN/QVJqOmorDqLD7WLiyZT0TKRn56Hm8AEseeFv2PnNGgT8PsZiEEC5+79/i0VX3shSubasXskWFN1Np41kfOOa+Nz59ZnCeNBl7KzbiF+bzroe0nNQwUXaMH5XpiPVpINRrWJgUq1UIMOsgxzyI/wUFWCmDRfVBojC7vbCE4wVioyIUTR2+L7Td5uYEQIjlC5HQLKrNDn6XWFhIe68887jjkUsxT//+c9eW+US80IakK7qgNAfkvr6elb7oz8KHn6nwJymDxPwIm3QUGx9BSCkASksrseMmbuxdcsYHCzLZ8xINHrMwa83cQpt+ABqTsD0maORnWdFaoYFcoUcKpkaB/cehsveDpfXBVVyFiz547C9vAn1rW5MmjQJNosFrc1t2LR+M2x6JSaML8CEyQVQwoeI1wMhEAEfEhBFCClJeqg5OTRqA3TJ6fAE6X03HA0OhAIW/OiBZ9Aht0GtzUM0oECH9wA4rg0aMvg4ZzgM8jBmTMuDGkG4nGF4Q0EIYhS1qQt7c5pSHykCUgS6iAD9X6pRaDHNcg5GG8biXfvbxwEQTqZEoa4QY43jsduzC9X+KuRp8zDFcg5WtiyHOwGAUJoWARYCDTQ26USmWs4BMS3fuNaj1LOXsR/UFDLFkf/HY32NnAnTLTNQoCvEWucalHn39Wv6FR1zMAEQusnYU6bDd120EgDpIYKJQKS7TS5t1Kl2xw9+9RS8He149enfoqGmAlFRZACEHKlGjJuGi6+/HW6XE1989A6aG+qQmpmNBZdcw/QhtVWHsOHL5fh4yUvw+45VUWdgglOieORYXHrjnZgxbxG7+0b/lft8Hmxdtwqff/AWDu3fw0ALsRtqtQZZOXn45VMv0s4c//7jg/C4Y65bXYGM7gTlg5nx6AvwoJQ5uuNPwKOvLc2sR26yGWlmAwpTzDBrVchNMrPrS5qaSCgMISpCFKNxeQ5kcjmUnIq5kDFdSSiMUJhnzmR08XjI0RqMoN4XRK3Lg5AgwtneAVd776vQx8+DQCWlR8WBSCIrQlZ6P/3pT7s8ZQIMr7/+eo/hIPBB7lqkKemqEeNxtlY/j8eD1taZwqL1eME7degLAFFwAswmLy67ajVjPdaungxPh75P2o/44XPtu6BRC8jOMiA5Q4ukDAuiMgU6XCHs2FiKUEcEKr0axrR8+BRWVLX4kFM8HHwkhKgo4FB5BQKBCCzqKCZPGAaLTQujQQl5JAC33Q61nJgaHumZyVCrOah0FgR4OSDj4bRXwaAwoLZawO//9h4OOXkYLbkwcGQcYcecmQUYP3wETBo/SndsxOSxwxEJ8PB6ZXC5/aipqUFo8tV9DbXUX4qAFIGECBDrMMM6CyMNo7Gs6dsMCIEEen9R8kVoCjViR8d2hIQgAwnTrbOwouVDtPPtx8WTlS/gTJhhnY3J5imo8ldhjfMr2EOx9K5EVoP6mpUWzLaei4mmSTjoO4h1ztVoCTcf1/e7XrjBBEBIO0oGOQPZJADSy+h2BUTim1+2m5QBw8dOxTV3/4zZ2+5Y/yVaGuvQ2lSHw/t3xQSZVDRwxnxMnbuYVU33etxQqjRwttpRX30YW9Z8jtIdmxFktUFiIvN4i20oFTBarLAlpyItM4ctDmJbnK3NEAWeAQ0SDlGjYw0fNwU3/vBBrP/sfXz90ZtHx+yNretgBx3xuHR2r+rKxexkgEeSQYsRmUkYlZWC4gwrki0GcHI5c9mQUaqWSI4aUYiCCJHnEeEjiEQE5k4WDvOxFDgFx66DTK5gVqFBAh+RCMKCAJlchohMgZCcg5MHvFEZIgoOGr0eZGjQ0upAbV0DGhqb4HT2HjCRAxYBkcS0OrqT8eCDD55wpa9evRr06K51Z+1Ln1u/fj2+/PLLXn6bhl43Wnd9TWc7k6LQWwBCdrwWiweTp+7HmHGHsH7tJFQczkZ7uxFCRNHnU3aveh1mPYeRI7NRMjaHARBOo6b7oqjYX4fWujYIMgWUxjRUtoSgsWVDZTRBrohieFEB2loccDk98DiaIJMHMXJsEeyNVUgx6ZCq16O++hDMZjWycpIh13LwhERE5WrIEIYy4oNW1GD75ias2VKHbZV2uP1ezJxWggcfugNRvh2OBju8rW0IeVth0irhau1AuyMAuZKDy+WGvXhRn89Z+oAUASkCxyJAAIM0FyWGUVja9Na3GBCy6CUGI1eTh8/bVjJBOTVyt5ptnYsPm9+Fi3cdlyZFoGKKZRpmWmZDo9AwIBEUg4wF2ectRUAIHJ0A/Z9PonUSo6vlGsZ6kCh9o2sdDnjL2Of6qw0mADLQVdApZhIAOYmVkwgO6DVt1rMKRuCGHz0EtVbHKL5IhGdFBndvXo1P3vo3Kx7IbN20WuQWj0LesFFMxNjaXI+a8v2w11dBiCTU5ThSbJDusHfVOjtOJVrg0muVWo05F16DmQsvw/NPPIi2pno2TCKw6PyZzu+fRGhO2Uc6p1t1Bh4EBCjViuoy9JbxIHZjZnE2zinORKrJAAUnQ1QWhUh1DjgOCrkcnEzOgJ6MmA6qEUKggz/CgvACu4aU+82ut4JjaXBRuRwC6YR4HrwgIBKNEn4BDxlCkKMDHLxROXxhshnVw2DUQ2/QM+EdH+Hh8wdwqLwS5eUVaG1x9CrGBESoWj2laFHhyIcffrjbzxELQmxIV+2KK67AhAkTuv38gQMHsGTJkl7NbSh2GsoWvHS9egIgJETPzbNj/MSDsFg9SE9vY3qPxsYUVBzKwc7tJQgGuzcu6Gpd5Nm3IT3dCptVDa1BBr1FDblaiWCQR11FAzhRAxlnQEsH0OwB6l0BHK6pQTgcwIJ5c5Cfk4+9e/YjyWaBTMHDF2jD1EljoIWAiMeNsNfFGJDUDDN4BbEpZijVBiY097Q1QOgQUFHux5bdzWj2i3AHGvHQQzfCZgHMBjP87R5sWbsXuRkmCIEgwj4h9h2VUQ0pD2oLLhyKy106JykCpywCxEKemzQfxbpheKfpzW8BkBLDSJyXdD5Wtq5g9UFiVrwKkHaDWJMVLR+hNdzKHK+okasWJ+MYwEhSJSFVlY62cCvTmMxPWsBsdwnIHPDuZ68JfJAtL+lDklTJcITb2DP1VUCBT1uXo8Lf9f+bJxOgwQRABroKugRATmaFdPpMHIAQ8Jg8ZxHTZfCRMJzNTaivOgivux2CcMz2tit3pviQnYFNb4FHV8CB9AHjps9DZm4RvnjvVQgR/qiV67f6yyknMl74Tn6cQ1Y/hKhfh+iszelcwZ5+ps0gFY9saWnp8dhmnQaTC7Mwf3Qh8pJMLG2DqTZkgFwhA2lmCYTIFHKmsVBRvCiPXYwiSuxHRIAYERkI4XmBMRwRnu6ixhgQuVIFKOSgrNJQREBYFJj+gxcFBAUB3rAIFx9FBx9FICLAGBeYW83s+IJIYxKo4RERInC7O3C4vJI9vJ6eNSTEhIwbNw6PPfZYt7GgOxGkByFdSGJbvHgxpk+f3mMcSf9ArldnayOwS2Lmodp6AiAkOJ8ybR9GjqpktrtiVIbVq6aisSGVpV95vVoIQt8ZkHHevRAiAVhNGlZ5XG3goNQoodMbEPCEIPIyVlCwujmALftqkZJXglnz5sFmMaCxvhprV61BNMpBq9ZAo1EgJc0EkfdBy0VRnJ4OeYRqKnlhTdYgOc0CjcaI8sNV4INecLIQomEODXVRbC21o7bNhf/62W1IMjuRkq6Gz81DJgj44K01mDypAGGvD+4239G/Cx0dXhzKuWCoLgnpvKQInJIIGDkj5tkWsLSqzgDkqvRrmeCctBtahYYxFEqZEibOjAxNJip8h9AcbkZdoIYBhTxtPgMT291bGViJN0rlIivem7NuY+5YK1s/YSyKTqHHXs/u4/oW64fh+ozvYa3za3ztWNVvcRgsAORUVEGXAEi/LZvYQJ3TproCFCdK5eoKhPRmel2lSnX3u0Tw0fl1b453Ovt0x3oQ40Hgg2q0NDQ09CguTzHpcdX0sThvbBEUhDZEkaXOsYcoMgvRqAIgwkOmAEuhohQ4Ts6Bo+QrIQqBj0AUohAjBEbAtB2hcASBYBgijamgzRLdoeUQVSjAi2AAJByJwB8OwRMMoT0QQl2bGy5/GKJCidS0NKSmpiApyQZOyUGEwFgTYsIoL5Xj5GxOBJQa6huxZdMONNZ372RFf0xWrer5jySlEJEzVlyY39fK548//niPce9u/RDLQg+ifmkuZBN8MlbBp2ONDmULXopnTwCEvi8kPM/Lb8KCCzahbF8Rvtkw7qjwPBolHVTfr0xK+UdItVlg0ChhTTJBqVFAqVdBFCPsu2g2WsCrk7DjQB32VrkwfsZ56AiEIFeIgBBBY0MTaqvrkW5Lg9VsRDjiYxqQZIMeGlGAzahCS0s1Jk0ZhbycVDTX1mPXzj2wWPVQKqPw+mVodxvw5vurEVFyWDh/Is6dlgO9OQK10sRcuF759/s4d/ZoRPxeCKEowsEQwv4wvB4/DuVd1PeTlj4hRUCKwNEIkPh7QdL5DDxQHZBEFyxypCKA4ol44BO8CIlh8NEwAyVjjeNQH6iDR/CgMdiADa51rKAgMRvrXWu/FWECI3rOgNuz7kRjqBHv2ZcyBoUE6VvbNx/Xl+qN3JJ1Oyr9h/Fxy4f9drUGCwA5FVXQJQDSb8um64G6AyRdAZYT/a67aXaVipXYv6f3BzgE/TZ8d1oPAh+k8yAXJtoIdtdyU6y4bvYEzBieGxPjE7CQAVHa5AsiYxnoNXmDM+aDo1QqwicCAyBKTskoXgIekXAEAgEQkQCJDGFeYCwHHxER5CMIEnNB+yCAMSBBXoAvGII36IfH64Xb70e7Pwi/IIc/EmXv6wyx4j9JKUlITk5iQMRgMjDNCLFYMc9xckajh4yBpZrKamzdtBNNjSdmfHrSeMRjFq9eTqwHsR99acSgnKwOYvbs2Vi48HjHoDOlmjqxH8SCDNXWEwCh89brA5g+aw/yCxqw4sO5aGmx9tl2t3P8kg9/gGSTGcPyC6CQy5jtpT/kA8+HoFAAmekZgN6MneUN2F3RhsVX34p2fwgRkC6Lh0KmRDAQwY6NOzCsIB9yFRAJ+6DgeRRlZUKJMHbv3ogLLpoLAyfg0N690Gp0UKvlUGjk6PDJUV4ZwnOvfQy91YiFcyYDvgbcdOvFUKmV8Hn9WLVyDWaeUwIh5EHQEwIfiiDoDYMYkH1pC4bqkpDOS4rAKYmAmTNjYfIi5GhzsaSRAEhM/E2NNCCyI2nRdIMuLh4v0BVhccpF+MD+HprDTUy3QX87ZlpnI1mVzBgOXuSP9icAQmzH97JuZXVE3ml6C3Nt57Gq56sdq47ra1FacGPmLWgKNeB9+7v9FofBAkBORRV0CYD027Lp20CdgUnip7t7r/NROoOL7oBH32Y4uHp3BT7ijAc9U/oPsR7dORAVlZkI4QAAIABJREFUpSfhsmmjce7YYqg4jigExljF0s8Q03JQuhN/BIAw7Y0I+REAQml0BEAUShXkMo4IEwY4BAEQRBnEqBwhXkQgxMPrD8Ll8cHt9cEXDCMsiODJDY0X4A+F4A0EmK7DR9XWQ2FElRpEwCEY4ZnbmVqjZhqQ1LRUZGSmIy0jDVoS3spljJmRyWMPYkPoHAQ+jFAogFZ7C7ZvK0VtdcNxF7C3AIQ+SG5WY8aM6fMiOFknLHLwuu+++1iBxa7ayY7b5xP4Dh+gdL/vaun8HQ4/4B/tCYDEiw5ecfVXqK7MwprVkxEKkj1132x3O5/IiMA2BN0e6DktZKIMarUKSrWSeEEoIIKTi1Boo+BMaSir9yBn5DQMnzAFHT4PM4DgBcBmy8Cz//sMOpwu5BXlQqNSgItGkZeeBldLA5qbK1EwIhNWsxJaBaBWqNi4GoMG9lYen36xH1+s3o60zDRMHlWENCMVjNVg5NgCeD0huF0tyEw1IuJvZy5YsogSDocbTY3NqMqTNCADvjilAwzpCNBm/4LkC5GtyWHAgKqPxwFI3FK3cwAKdcW4KPUSvNv0DnO2igMTKjg42TyVFSikgoN8lAxjwHQhWZocBkD2dOzC8pYPGVsy0jAKq51fMQYlbs9LfQng3JBxEza1f4Mv2lb2W/wHCwA5FVXQJQDSb8tGGmigIhAHH11pPWjDV1dXx9KuTtRI4/G9eZNw7uhCcAoFTHode2YAhqVbkfA/GtvIk36DOVkRCIkBEIWCtBwy9jtys1JwKsg4JQMdQV6MMRwEQAhA8FG4PF5U1Tag0d6C5jYnnF4/c72i0SgFRYCMCdIpR54eBIF4AjQKBWRKJTgulicfDoWg1qhgspiQkZWB5CQbq2tgtZmhVMohRnkoVVyMvREFBkDI+CAqRNBQ14T167bB3e45Gpbly5ez+i8D2frihEXalJKSEvboqq5I4jwHOwtCa4fMDoZy6wmAcMoIRo2qxIWXrMe775yPyoqs78x+UDyvGSWDvbYRzZWN4IMRuFztaHe3Q8FFkZ6eBJtRg7wcPfTWVIjmPGwpa0B60UjkFuYjKo99T9vdYSx/+yMG1A9WHITNaoFFr0NOajrk0RDKyrfj4V/fD70VUKkB3hMEIkE4nC5U13jw3HOfwuWOQqvnMGFEEZK0CuQVm5A/3IzKQ02YOKEQvnYXoqEOIByB28Gjro7SQAXUFVw8lJeFdG5SBAY8AnEAQgzI0qa3UR+s7bISeuJECnVFWJRyEQMgJE6PAxDSf1ySehkDE9+4NqI13Eyydab/IJcrsub9su1zpvvI1GQxe9+A6Mcm10ZWNZ1E6fnaQua8pZPr8FnbJ8wJq7/aYAEgp6IKugRA+mvVSOMMSAROBD7iKVdVVVWsxsqJ2qJJJbh21ngQCFEo5MzFyqjXMztd2hyE+RCr2UFaC9rwh3meARMCH7SpJ2tjOTlgMUG5nLlayRR091UBkqrzUXLIiMIbCMPZ4UOzowP2Nifqm1rQ7vEz9iPAx9KwmGkv5cHLCHQQ60ICE3oth0AgQk4ARMFYFupNYIKYGaVKCT25Yum10Ou07NliMcKWZIHVYoZOR04dYK4/fDjIzkMhJ0AlYtvWvdi14wA7J3KoIm3FQLaenLDioCOu8+jtXPoCbHo7Zn/2G+oOWBSr7gCIXC5Cpwti8cUboNUG8cnyOXC0WfolxFdO0sDd6sDaT1ZBERZhNZqg1ShhNOmgNahhMNIDUGv0kKlsKKtsQ1VzAK6wDNNmnYu8/Fw0N9vx5mtvwOcPMoaxvr4RShkwddJYyBVhzJo9GfPPnwOFMgxfhwMRPgQ+yKO1xYtNGw5h9apS+HxhqFRRFOelo6a8DOctmIHJ04pQuncLLlw8HUG3D46mVrTZmyETOXg9QaYRK02Z3S9xkAaRInC2RoBAwYLkC5go/F37UtQEqiGS6LKbRoL1c23z8VHz+3Dxx25QkkB9tHEMFiYvRlAMwBfxslRsC2dj2pB1rjXY5d7OKp+TYxZVU59rmw+/4IdP8DEAYlPaWBr2WsfXDKjQ7/urDRYAciqqoEsApL9WjTROv0egM/igTXT8QYwHMR8nSrkqzkzB9xfNQGGaLVa7gwCETMYAiIHqbMjkjNEIBIOMlqB8R8rfJzDDjntEkE4bETlL85DFCvLIFazmgMAYCyVEhQpObwCNbS5U1jWirtkBe5sLTrcXPLEi1I8SRQh4kLdWlPy1yFWLmQUygEFNPCJEkXGKo05lBCCInSEtCqW4EhPD0UOpQFKSFdnZmcjNyYTVYoJKSRWmI+D5IIIBH5luxXQrkQgTwq5duw1P/PGpAQcgXTlhkQUwpXPRg1531+gakH1wYiNND2lLetL29PsC7MOAPp+v11bPfRh2UHXtDoAoVRFkZbXgwkvWYc+u4dixbRQCge4td6lGyIiSGuzdPQzlB/NOeK43nGuDUoyidPMOtNc3wqrVQaUAOK0CSq0Sap0KOpsWCpkcBnUSNm05iLJaLyrbQmh1+zG8pAhiuAMP/Pp+tHsCqKysxYfLPgQRjQVFGVhw3kwUDstj3x0tJ0PQ1wFBDCEQ4LF7Rw3WfV2K5gYP7E1NmDCpBHLRB3t9HQryCjB1ynCEQ5U4d/ZYuNvcaK13wdnaBrfTAU+7DxynRv2Iy076OpaMGsVMKQ6WlaHZHjOaKBo2DFnZ2ag4dAgN9TFr9bz8fOQVFKC6qgq11dUnfTzpg1IEBlsE6P9qo4IAyPkYoS9hFrmV/gpWhyN0xFq3qznnawsw3ToTn7asgDtyzNmR/uclYEFsyjnmGazAIP03TLVCtrg3ozZQzdgRSvGK9yXG4xzLdBg4IzuUk3diS/s3qA/WHe3bX3EbLADkVFRBlwBIf60aaZx+jQCBAAIX8edE8EEi5+7SXS6fPha3LpjGwAYxF0zjccShjICIQacHuULR+CRcp7EJXJANLd3Jprsh9B6lY5HQVUk1VWhHT6lSYhQhUQa5RgeZRgeoNDhQWYt9hyqx68BhuPwh+PkohKgCURnHUkDoGVAw8MFMgIgNiedjsd8IzCVLzikg5wgsEQsSQyaUIka6FKKPZbKYMxcRJGpiRXRajBk7EhnpKVCrFDGNiCKKUJBsRcOsSKJep2FMT5AP48IF18JisfbrdepqMHLCioMOSq/qCXTExyD25IMPPmCWv/GULDIVIPaDrs1gblRnhkDIUG7dARBiPyZP3YeSkdX46IN5aGu19Gi5O2HiQUycXIb16ybiUDcA5LoZepi1BriamlFVWgZ5OAyFTITJbIBKr4RSxyEY9UOv1cNqzMLHn2zCnkMOOEIaHKppwMJFCxAMtiN/WBb+86f/CZ3WCIXBCH9LE8SIHzIFmToICAZDaKptRGujHR6vC9XVtVi7ejs4mQ2NtU50tDuQnmHCsOJc7NyyDZPGT4CjrQJ33nkBzEYBQlBANCiH2+GAw9EMIUzJlnLsTTneWKG362TMuHHIzs3F9i1b0HrEUnx4SQmKiouxe+dONDbEtF75hYUYOWoU9u/bh5qqqt4OL/WTIjDoI0BggbQfF6ZcgjR1Gqvp4Qg7sNW9CYd85SecPzlmnWOZgc9aP4E70vtCvqc7IIMFgJyKKugSADndq006/nER6A58kND8RLU9dGoV7rtyPqaOyINSoYhZ6zKReUzfEW9qtRocpVLJZPAH/AxoECAhPYnAdB8xxyumBeHDxFNAwUYBIlEZwlE5BE4JfwRoD4ax73AVDlTX4XBdEwIiVTdXAgoVovQcBx+ssggrKMIesiirU3aEAaFygyJArlYcgSYF05pQozQwBkCYBS8BECpwKLKUK9KxZOekIyMjFWlpSbBZzNBoOJaKRf2UxJYwkToVMxQxb/aFSLKlDviKI6air1oT+gzVEBnsQONEwSPmJxwOD3hsT+cBugMgpP+YNXsXdPogvlg5A4JA6+6Y+Jy+irQmybmNzBP4cNdmA12d3+1zzVCIMvic7Wirq0fE72eMpEwRZbheoZZBbQC0GgM4zoZ1G8qxcUcNRHUqGhztKCoZjpqqclxx/WKMGTcaU6dMZTcedDoV1KrYzYnmhia0tjixdtVGVB6ugN3eyOrtmE0pqKtxoNXuQLLVgClTRsLlaMWBfeU4f/58tNgP4JJLxyMjTQnRz0MRVcHtdIFTkC23wLRpW/Xnnc7LJh1bisAZHQFOpkSWJosJxxWsgKCP2eRW+6uYJiOxEVtC/+j/akrbIhBS7juIkBiMuVoyJebgboMFgJyKKugSABnca/Gsm113aVc1NTUnFJtTytX91y5Eus0M7ojWg9XqOMKkxOp6xMJJxQTJbYketOEl4EEA5Oixo8R+HEn3osr0QqzGR1QmhyiTM+8ddzCMJmcHqu0tOFTfiHpKu/IFESHRK/l80qMr8MHgDP2JJFATS8GiBx8JQgS5bJHWhNKwjqRqiSRWj9Unif3xpAflvhI9DGjUHJJTrCgoykVWRhosFgNJ3KFScVByJJwnhw9ik6KYNX0hUpLSBuWaevnll1F9BqeOECvXnQPboAx6HyfVkwi9j8P1uvsF+S6IVF/H44NBpYbH1Q6B7HWVMmg0SujNeujNcsg4NYSIGXv2t+CtZauhNmbAL0SRlZcLg9WABnsVikYUIyM9E7YkK2bNnAqVUo7mRjs+XfElKstr0UI21oLINFcWqxXNjW2or2uGXBQxang+VEoeXq8HDfXNKCksRkN9KW67/VzkZemoyiiUMjWbW1ubHUFfAOFQBLtti3p9rlJHKQJSBM7uCAwWAHIqqqBLAOTsXuuD6uy7Ah8EDuhBm1NKc+mqzRlTjP+8Yi5UStp0c4wZiLMfUdrAJ7hc0efpOAQ+qNAO3bWmjSOBEnrQeyESojM2hByyZAiHBfBhEZxajUhUDl8ogsN1DThQXY/91XXwhMMIEphQ6RCGAjy5WzFVObEYR5iPWG119jOBC3oQQCJdCoEOAiCCGGHakGONxohZZzHwQZQJS8U68kwgRCQnLDn0Rh1KRg5DQUEOUpItTCtCvlx0t5nE7KR3mX3OAiQPQgBC9sB9sQgeVIuWsWXiSdc+GWzn0t18ThcAmW4oZ2mTzpY2+Du8SLLaEAmHwSnlUKo5WGxUnDCCqEILGZeKV1//DFW1HoQiShhsSahvbsS9//FDfL1+NfRGE3hehEanwf+z9x5gcqXlmeh7cuWqzjmqlVutHCbAjAeDjW2wTdo1mGtjr9M1NtzFgK/Dcne9vqyxfe/ixfauwYMBs9esWYMvYGCYoIkKo1FWS90ttUKrc6p88jn7fN+p0rRmNMwMjLqnW+eHeqo1XXXCd0L/7/ne8JYfexMW5me4I/nkY4dRWNDhWURddJAvFtk9a3FhEYILpOMaogpQXxvlhxYTkwtorm+AUbyGH3/LJuzd1QVVkFDOGcjnFyEJgFl0sLCQw2BLCEBW03kebmtYgZWswOsBgCxXCnoIQFbyTAvXfaMC36/zcfHiRRQKz9vJLi3bu96wCz93/262rlVI80HggylMAc0poDCRmJuEF4ERH1GSJCkAIARuaN0EPsgliz5LwnSHEs49CiKUYDvsrMl6jmxRx+TsPAYvXsal65MYm19gQbova4AWg+MDDoUSgigmS8AHdzQow4OAQfA/kWlhtJHco6i8AqvegDK2BIxUhCxBx4R+55FABCAPc9+BILjo7OlAb28n+vq6EYtqbNVLwnVKjHZsC7u334XW5o7X1VlHGg9KXl/Ngyak388GejXv29JtXykA0u8chiTKTL9IRBMge8hyscD0QkkWoUUUKFEPWqIBgyOL+M53j8Fxoqiva2bwcXbkArbv34VtAztRKtuwPWB8cgq2a8N2SU8iwDE8ct2Fb+lIJqKYml1AoWhAJbtty0RM8dHZXIdSbi6w4IaKcr6AVKSMN79pPe7dvx6lfB6eJcA0yhB9AdPXFzE5OY3xze9YK6dAuB9hBcIK3OYKvB4AyHKloIcA5DafTOHiX74CPyjt6pd/4g14+/5tPE0nTjjzP+mdsjqkoJuxNDukqgOpAg66yNhy1/cZuBAIoX8XyyWmYDEQEBUOCLQ8CQXdwbWJaQxduoyh0auYyeWh+2SMpcEVVNjkl0U4h8AGARLWcVQ6H/TfqNvBZrzUzKBAEOqwkNDeg0QBfNSBIVzBK6a6EdoIHLPouwxeSIROUhJ26bJB9qcEQnxbRywZQ0tbE7b2b0JTYx1SyTgUsgvyXbYVJd57Ip5Ee2sn2lu7kEnXvvzBuY2foIk7uVtls887lNzG1d22RZN+JZ/P37blv14WvFIAZFP+IOLRBKKJBMolHZ4PxGJRvtajkQibMUTTKnwlie987xSujhVRytvY1r8FJ04dgyPZ2LhjAJbjoq6uGc3tvejqW8/ZPMVyERPjY9CLJc4YaajJwHds/NPXvo3Z+QLSqQxsowRfL2FzbxtKuQW23NY9EYXZeXQ2a/iF970RHS0aBM9HYbGIfCGP/GIO+TkL5bKO8S0//Xo5hOF2hBUIK/A6r8DrAYAsVwp6CEBe5yfjWt+8pQnnS52u6OeXEpwTzeqD73gz7htYD00MpvjBhD3oGlA3hMAEjWpa+gv5+TSZr+o+eKpP/5bJLtdnO17eLiJj+BIMX0He9DE0eg3Do1dxafQasiUDJrGiFKJlSSxOp3/T5Ij8bwUSoVfEcBXLKwYTDEeq72yHRQJ5+orM3ZZAuFt9BSAk0PIG3RBmaHFrh14EYCxIlNgckWHbOlRVRENjHfrW96KnuwN1dRnugNBTWXL0Cihc1DzxEY8n0NbSiaaGVjQ13N58kFudx6sh3fyVXH+Li4t8zqz1sVIApG/2ISSSaaQyNXBcH5ZlQ6bATklELBpl6iUUH4JWiycOjWB4ZBZG0UJLfRqLuQm84S1vxJZdA7g2fhWm5cMTo0g3tCFVW4cduwcQjavc5bgwOIhTzx7HiaMncfLMRUSiZM8pY11XO9xSAfnpSaSiKmazOeQtF07JRFPGx2/9+k8gqpRgFoowdBezczPcAdHzPvK5Aia2hgBkrV8b4f6FFXitKvB6ACDLlYIeApDX6qwJl/OqK7AUfLDtbSXng2hRL2W1qyoKPvz+n8GenlYkFBEq2UERVYozM4LJdbWbQRtUXW61+8EWu+TvzZkgFARY2Wwy1KGJDCWQV9yMXB8omi5mizbG5os4OTiCy9cmMDO3EFjsstuVwpQrMtz0KZyQ9B9MtZL4ndfLgUmBdoPjPrgZErhzBf+nNgqJ1hUGLVWNSACpAvetJSZeDECC/HTq8NiQZR/RqArDKMJ1DM436O7pRN+GXmzetJ7XrxslSPS9oBED2wqoZ/QPmtARNKqvaUQymsauXbuYnnY7x+s92fzV7Du5stE5u9bHSgGQliv/wuGb9c0NSNVk4NguisUyX+8RVWH7aSkuYj4r4fTgNJ565gy7UfV0tKJQHMMv/tp7sGnHFlCMz9j1cTx7agiN7X3INHQgWV+Pzq4OuKaO7/3LN/HkwccgClG0d25BpiaDiCxiYWoO2fHrmBm7ArtgwfAkWIoEI5tHXDHxm7/yNgjODPILczDLDhQ5Akt3kM+WoOsmZnaEAGStXxvh/oUVeK0q8HoAIMuVgh4CkNfqrAmX86or8EKKVGCD62J+fh7keHWr8fsf/jcY6GyEZhqIySKnGdPsnOxzCYQspVMRyGD9R4XqRP+mzojjOjzxfiFQoSyQ4PcEJ0j34WEqV8T5azM4fWkCZ4auYD6X5ywQTY0R8QuW7YGAiiAq0NQoXM/nF1GxmEpF8IEm/kydqgIQAgKVjBOiiXHQYAQQNQYuwSsAItRRCRLUn7cRviFEJ2aWSCntPgg7UTfEscswCjmkapLo6u3CfffdC0UWsX1zP9PS5hamMTkzDtsy4bhB1onD4C+gqxVyJTz0rYexrX8b7r33Xn69WkvdlzsRyLKWqFdrYdJOx+X7ZdK8XC1W0+9XCoAkB/9/NDTXoL4hg3RNCrphIp8rs8mD7zioq0tDy2g49Ow1XB3TMTQ8BlVOwTZMrOtL4L2/+Cbs2LOd6YpElZucy2P46iz6d98HIZKBaTsYv3wRuenriKg+lEgtxsZz0K0FeFYR186OIuL7aKlN4uSRSzD8KNRMHOXcAtzSHH7+nW+G5C/AKi9AcOlCjKKYN2E7JgebLuz7mdV0mMNtDSsQVmAFK/B6ACDLlYIeApAVPNHu5FUv1X0spV5RmNvw8PAtLU0/9X9/ArvWtaIwPQHRLCEmSpCDqA/4LonGg0m9WLHhDQCIG1jYUpOBJ+zkOEVPq4mqpbD2gqb2tu1AkhW2wKUnqwQiirqBy5OzOHx2BEcGR5E3PNik+2ZAILIG3CHVOYOFILsjyOugLoccbIckQlFkTi8n0SyBEBaFuxYs0+RuC61blGMQJAIglE9CnZmgVREI0qv0K+qsVKx7K10UcrgiW17KHaBuCAnSRcGFrEqoqU2jf+sW9G/eiJ/40TffON3IFWxmbhrjk2O4PjGGkl66AXBsy8XczBwe+tYjNzpBO3bsuAFGyBv8hxkEOshyl8Tna2FQcOXs7Oxa2JWX3YeVAiCRU/+EdDqJ9q4mROMxFEs68lkdRslCbU0amUwS6aZafPHLjyBfVjGzkIeuO0jHYxjY2YAffes2DOzqh6RoMC0697NI1rYglm5BJFmDfDaHf/4ffw+nuICm+nrU1LbAhYaSUYBd0jF2cQx2cR6bt/ThH778MPK6CiWqojA3g7e8cTeyU9dw775u+FYB2cUicosEkIqwbB2ZTBq5A//6ZWsbfiCsQFiBsAJUgdcDAFmuFPQQgITn/IpUoAoWltKuaHJKadj01PCF4//40AfxsQ//GkZOHEN+6jp8s4wIdTHog5WcDF7mEktdFmuTxqLigBVQl8jmP9CKcB6IosETBH4KKogydzIgySgUy5iYncPJ8yM4dn4Ug9emIERSECSFbTup41JdbCwWB4m2VC3CvHQCHFokCk1T+RWNRRHRNCiqzCGC5EhlmDonZxu6DtOwkC8YKJZMGIZ1A8wQCAnWQ92TQNdSzQdhGpcowDIN+L7LmR8kNCcAQu5XhF8iERWNjQ34hfe9B3ft3f2Sx3l2fhpjE2O4OnYFi9kFzj2ZnZ3H9771CHeklo4NGzbg7W9/O9O0fhCf8O985zs4fPjwipxzt2OldAxfyh76dqxvJZe5UgBEPvo/EE1G0NzSwLQoy/AwN5uDbbusASHHN19W8N1HzsBCAlPzWRT0ItKxCH7hF9+M+lYP23cPwPJE2K4HRYmwsYQvxtDc3o1LwxdQnJ9AayYKwacOqABZlSFCxcJUGZ/7q8/hvge2Y/PAJvyHP3oQi1mFQwYlT8cb92yFW5rC5r5GmMUsHJNsryUOMZRlG6lUElc2vm0lD1u47rACYQVWUQVeDwBkuUIIQwCyik7MtbKpS6lXSwHISwUNvu+9P4dP//knAUfHyMljyE2NA5YJyXchkm0UUawqNKsgcDBwjJI520NgmpJQcZsi/QdrP3yBKUiyFmE9h0ndDF+EL6lQIglcG5/E6cELeOiJp3B9voiyJ0OIJVlgTusSCAwwIBDQ2tqCpqZGNNQ3IJkim9AEkqkU4okYEok40uk0YrEYKIGdug+GaTD4IGvhcqkMQzdw+sRZDA9dwtTkFLtncTdGFGGZNk+0FFXhDgvTsir7SB2VIDmcKGEKrFIBjkXgzYOiqpAUifUlf/3pP0Zvd+crOn1y+SxGr1zE5PQUDj9zGE889tSLvkf7sWnTJjQ2NmJgYAD9/f3o6el52eVTlgt1P9bSIAcvche7E8ZKARDvqS8inoqjrb2VwwFty8fYtWm+Lugaj2gKtGQNvv3wCehuFI4goFQuwzJKeOtP7sRPvn0fOro7kC0swPZspGtqUVvfirINyNEEW/oKdgFuOQdqcVquCVkBYkotzhy5hi8++AX89kfeh9rmBvzeH34W4+MuXNtCTVREb1MSuza3o5ydgug78GyiVJJ1t4VknB5UOBjf9p474fQI9zGsQFiB16ACKw1AaE7T0tLyGuzJK1sEzWGE+++/fynJ/JV9M/xUWIFXWYFbUa+o80E0lrGxsRctbf/+ffjGP/8ToqoEzyxj+MRRLExch6OXWIBOAKRKv+IOSEW/wQBEIpBAYIRkGETDIv6UB1lSuHthOUR90gBJhSsqsMnxyhE4aPDM+WEcPzOI00MjyFs+HDkGnyhWlYwOUVHQ0NSIvnW96OruQnNzEzLpFFJpAh5xqJrCoEFVqAuiBXQviTQdpFchW1wbjlMBTq6H8bFJXBoZxdnTZ3F1bAzzCwuVdQXOWtQJoS4IBShGIlH+t66XYRsGPNfh4DMif5EOhnaO6F8EYAjw/MWffwJbN69/lUcKnPh88tQpfPUfvwoSjS8dtbW16Orq4u0hLQ25ZmzduhVbtmxBX18f//elg6xqSfdB72tp0HlLNKw7YawUAJGOfYXP68bmRiiqBsPw4NoSivkSohEZ6XQKQiSCx58ewpXJHLRUkoND84uLaGmW8ba334Pdu/dAVPNIZSKoa2xEfWMHfC0JSyQapgTHzCM7cx1zMzPQ7UXUpCOoS/TiP//RFzE1dhW//+9+A8OjV/CX//WbmJ4R+D5THxfQv64BnXVROOUszHIZjuVC0aKIRFV4HonQy8gf+MU74fQI9zGsQFiB16ACKw1ASAvb0NDwGuzJK1tECEBeWZ3CT70GFbgV9eqldB90ETz80HfQ3dUOTRHhGiWcf+4o5q9fg60XoZLGgibdVf0Hd0I83kpKGJc4E6RiXUsTcxAA8RmAEA2LEs8FUYUgaxDUKGwoyOs2xqbncfjYCZw4M4jpbB4mKGMgBpfpXAGNS0vEsX7jBtx7793o6KL08TrEohGkM2mmXPlwK+nq1WBEkcMH2fGqEvPBoniigkFAsVDG5PgUzp+/gFOnTmHk0iXkc3kvJzTMAAAgAElEQVRYtgPbcWGUDV4e0bySyRSDE5rc0KTHNnQ4pglBVSFIEgcUBsum4UPVZNxz12688d492DHQj0ScBPSvbhBweOqpp/h19OhR1od0dHTwjaoKQqqifrqBrV+/nrsk9CJ6GnU+qAOylsadkoBePWYrBUCMx/8epmWiprYWkqqgVLDheQIUSUMiHkEkIkGMRvDkoSFMZS3EMmnoZRuObiMRsZBMerjv3vuxZ187MhkZja1tELU4dF9CXVs3YskEPN9Ebm4S2cVZmHYWZAKnCa342G/+P+hpy+A97/kxPPXMCTz0yBnk8wJM00JMLGH/ti60ZjQIZhlzk9OcAZSprYVuluG5gcbLeeCX19JpH+5LWIGwArexAisNQKLRKGpqam7jHt686BCALFup7+wVvRT1amho6JY0lq/8wz/gLW96IEg6Fn04egEXnjuKufFrMIt5qCTsZlHH8xSsqmaB/jMBEOoMBOnjlLnBPQLuJJCuwnY8pktQloccTcKTNMzndZy5MILHDx3BqfND8AUNlqDAomRzSWYAI/pAXUsTtu/cgTc98COob6hDIhnnjksynWLdh2WbgcZElkG5JTQ5J8pWkCxY0aZUnK0EX2BbXIdetosz587i9JkzOHfuPKamprGwuAizWOasEI1C1yJxRKMxRCIaioUCCtksigsLEDQNoixXLHpJCC+yAxaJ3qn7k0goaGltwJ7dA9g5MIDujk4kE8lXfVLSpIpAyDPPPMOdK5qIvxCEUM2rg/ikZKu81gbVgRy97pSxUgBk5ptfggcXtm1BklUoahyCRzRFGfGYilhchaSpeOroMLIWAgBSNKC4Enq7a5GOepieXMD6dSm84Q07UVtXB1GNYGxuAZmmNvRtXIdYTIVvl9hKdzE/g3y5jExqI37zV38PH/yN/w1Tk1fxrW8+BUFKYy5rIh6NQfNzuGdHDzSniKggwNYtJNMZLOQWoJs6DNNiDVrs7b9+p5wi4X6GFQgr8ENWYKUByHJa8FKpQgDyQ54w4ddfvgKvlnr127/9IfzB7/0eC0xVEoT6NuxyHuePP4u58THYpQJUWYRM4IKcripuV9VkcwYgbLtboWAFs/4bwX+BQa4A2xfgSxokLQ5fjmJ6sYAjx0/hmWPHMXTpCpRomsWrhgfIkQjrR1RZxuZtW7Fj5w7s2b0LsXgUWkTj/x6Lx6BGVAY7z6eyk4CcLbi4C8LhgtVEdP4vJCB3mVZF2zg2PsF5BZOTU5icmsbExASuXr6CQqHIXZhkkpx/MqjJ1LAAen5uDrMTk/y0lerAgEskBy4JmqbwxM1xTMRiEpqa69DZ1YaGhlokU3HU19aiub6B09Hraupe/kDe4hMXL17E4OAgGwiQzWkglg90OGt53CkJ6CvdATn34N9A0QhwSEHeji9BU+KB9kMVoGoiBE3FkROXUfREJGoS3DFsTNRC9nPobc9Ak1PILVxHOqmgra2V6ZMXr41hdjGHfXftQCalIR1XoIkySrqBBd3GwadGMDdfxl339OOLX/oa6jMd0KIJTM7OQZEVRLws9ve3QygtIOpLSCcy7ChXtnXoFtnwBsGiqZ/9wFq+DMJ9CysQVuA1rMBKAxDqflAXZLlGCECWq9J38HqWdj+qeR/EnT937tyL8iD279+Pr33tnxGPRVlcTcF6gmvCLuVx5tgRzE+Osx5EpQ4Dp4pXsj4qQYasg+BoPSGw3qXPVOfCZLFLtrwETiQ5SC8XFQhqDJ4YwfWZBRx8+ghOnD2Pq5PT0KJp/ozpUj5ABJFoFOlUGnffezcGBvqxrqcbMmk9VJoMqVA1lX9WaKMZ/AQAIwg8rPzMG1ehXxEoEQW4DgEQAlI+iqUyimUSp5uYn1/A+MQkT/AJkOTzBe5+0E2ivr6BAcjszCwmxiewMDWJcqEAUBeEBPiShIimcgI6OWRFKwCkvaMFjY11SKUTiEY1pmxRh0RTNbS3tKOtpQPNja0/0NlKmRjnz59nMDI9Pb2mQcjCwkLFBOAHKtWq+9JKdUCuffUfUdZ12K7L16wokCEDuVQBEU1ANKYiWluLoycusl4rklTgOAZ+9O778cTD38LeHRvh2+R75SCmUgfS5e7Jhi39OPjkk2hsrkNTfRKwy0hEMyiaDuYJgDxxBtu378HpodOsIduycQ/OXroI11ehl4tor5FwYGs7UF5ETFRhmi5Kus6BoJ4owHQkOLaPxn/1S6vuWIcbHFYgrMDKVGClAQjRqolGvVwjBCDLVek7dD0v7H5UAci1a9deRGEhwfY3vvFN7Nm7l61rVVniDgcBELK5PH74KSxOT4JyxlWRogBpWk/i80CATrkfQRZHoNWgSUoAQoLeQxUI0W/JUpeAhUPZG2oUui3i0tgUvv3IQVy6eh1z2SLrQxxBhFPJ4qitrUNXTw/uu/8+bNy4AQ31tYhENaZDRbRIkP1BnRkCINxlWdp14bUyIKJuiMQuXQQUxKADQqGJ7BAcBA9SQrlhmAxICIhMTkxhfHyCuwyqqoGE4PQUPruYxezMHAZPnsDk+DhEVeUskiDtXYTn2PB9G/GUxpOt9vZmNDbWI10BID53jygEkix8Zcg8yZNRk65FR2sHOjq6AuewVzmInvSZz3zmVX5r9XycaGVEP7tTxkoBkAv//Qug7FDSfbgOGS0EwJ5OyVQqDo0E34qIc0MTsH0FUlSG5RZxYM9enDh8Ei01adRmJGzqaUBUJgM9E4btYnx6AQULaGntQKlQgFkiVzoDJXKxUiQsjI+jq6UXl8en0dGeQktjEiPXi5gvi3CsAnoyCrZ11UHzyD7bhukK4Fwe1+bryZOjyOdNdP582AG5U66RcD/DCvywFVhpALKcFrxUqxCA/LBnTPj971uBWwnPaeI8MjLyogncBz7wS/iTT/0pC7pVReEJtODZEBwTen4BTz36PWTnZpCg34vgJHSRptsVChatiyeFlS4Ig5BKA6LaBKGJPk1iPEGE4QYdEDESx3xOx7mRK/jWQ49iaj7HbliuL0JQVJ7UU3eC7Gb37NmDnbt2oqOjjW12CYCQ7oNoGaJUpR5RunkV+BAlqhIieItKEbYhaEIULNuxoaoqu2ZRR4RE6ARETNPGwsIiay6oC0I2wpoWga7rKBaKLFh//NFHMTJ0gZPZbySns3CeaFkuIjEJzS316OpuR3NTAwMQ2nbXoQR1C5Zl8pMPBiCihFKxDFlUsGP7Tgz0b0c8nsDM9PQrfjpCN5ZPfvKTa7ILQseGOjx30lgpAHL67z7LqeeABF03+dKm7B1BpEwPGRA9FqEPX5uGKCbgyj7UCADHg1W00dlQD03R0dagobu1AZ7j8DU/NjWP8dk8bMr9EAR4pDERFThqFFO5RTQkE9D8CK4vZNHVlkFEsTFTEHF93oZrF9AW97F7XTMkW0cuX4TtBw8TFHajEzA+V4Sue9jz4Q/dSadJuK9hBcIK/BAVWEkAQg9Ef9iw4Ve76yEAebUVCz//iiuwtPtR7XzQ++jo6IsC3Kj1d/TZ55DJ1CAaoQl9RVBNjz8dE6XsHL79ja8hPz+HpvpaaLLEIIScsJhG5HqVDghNAIIOSCW3vKK8YP03AxSSW7i+UAEgKpRYElcmZnHi7BC+/fDjyBs2XEGGZXus/SDxtygr2LFjO370gQfYgramtoY1FvSSlWDSLrHqnTaHgg2pAyExFYqAFGkyquMmQT5lk8gyXN+DXtaDUENVY8kK1YrySmihumGgVCyxuNWxHX4arOsGhxlSlsg3v/lNnDh+HOVikGzO6+Dvkh6F1uGhtb0RfX09aGlpRDqVgBqR4ViUym7ANHXeRgYhsgq9pEOVNQYgO3fswvq+DSiVdHz4w7+NTDrN6eidnS+dL3LixAl8/etfX5MAhG6aRMG6k8ZKAZA7qcbhvoYVCCtwZ1egCkDob3H1tVy6SmKgUAr6co4QgCxnte+wdVUn2ksDBymAb3h4+EWV+Mxn/hI/9973BhNwRWErXdZueA7gWsgvzOIrX/w7FBbn0dPVjrimISKTFS8JOQLqFU24q5NvoSI6D7oh1f4HaUA8Bh8eBBjEmOAOSAJnh0dx7PQgnj56AoZH7ZUIbNenZgMUTUVHVyf27duHN957L4vAo9EIKAyQxLGU8UFgQ1aCmwaHH1a0H0t1IJxJQnt+Q6AdxO9ICj83ZcoVARcCM0wuI7DEIIJS0V1YDmWIBG5Z9CqVyjANE67j4Lvf+S6OHjmC8atjTOdisbsfUNQgUhfEQkdXK7Zs2YDmlkYkEjEQJqJMEtKJkHMXBbtRB4QACIUgRrUoBgZ2YNf23Vjft57tR8km+Mfe8mZOrKenJQREHnjgAc4AWTq+8pWvsMZnLQrSiQa31jJNXu7WRIYF9MfpBo2RAC7THYNzOgySerkKhr8PKxBWIKzAS1eA7qPUWZ+enb0BPqr29svxd5TyvCg4eTlHCECWs9p30Lpupf14qe4HTV4ffewgJ4YTBUkUxAoAoYk8AQwbubkZ/O1ffwaFhXls2tiHTDyGCE34fbeSdF6ZEDHFyofAVleBsxQPzt/wOQDQJ3WIrEC3fFi+CE/WcPTkORw7fR5nh0Zhk9BVjTJNi9LTI7EI7rr7ADtfbdm0GVHaTu56BE5bdJMg8TlpPwiM0BOLYAOeHyz9CEyweDwPiShg/XnXKAIPLvGouFtT2SfqaFQMdikB2mUA4jBNiihaBHaeeOIJHDl8GOdOneXOCSe1E9BikbkNQXLQ09uO/m2b0dRczwJ0yiupakAc1w7yUwTaBxm26SAaiWFgYDt2bt+FjRs2wTItpn397sc/jgcf/Nub9o+S0X/6p38a27dv52P45S9/mSeo1ac3a+nUJ30LuY7dSeNWTnZVeuWdVIdwX8MKhBUIK3A7K8Da0AprovrzcgAQAh8EQpZzhABkOat9B63rhc5XNCmmp8aU+/HC8bnP/S1+9h3vQDQSgUwODH4QJsh9Cp7Lu1icncZf/vmnkJufxbYtm1Bfk0Y8okAkuhOBjIr+g/UPFQoSLYd+V9VEMK3JdkAKVsoC0G0POlGZXAFPHD6O584OYXx2ES4BECUCX5aZ111Tm8bb3vZTHD5Yk8lU0s2lQOguCJx6HotFKuGDBEpI/h6Y/TLYYFvawICXgQXBCd6u5xPMCbhQ94fDB22HJ+8BACHQRICCOisyJ2+za5btolgs888Urnj8+HEcPXIUh556hj/D28DCXbLntSCpPnrXdWLbwGbUNwT0Mdezg8BCBkseb1Mg1xdv7oDs3I1N6zfxdtEN49rVq6CUeuqCLB2tra3cFaFckGo2CAuGuR5rZ9xpAnQ6clUAQu+BY1tFb1X53do5uuGehBUIKxBWYGUqUAUabCIjkYV/AEaWw9aeOtxEw1rOEQKQ5az2HbKuV9v9OHjwce5+EPggChBfbDwZDl6UYr44N4NP/8knMTV2Fd2dbdi8oQ916SQ8y+DAQfo8W+xSB4TtpILkctKGBMsKJsJETiJqlelQuIcGwxWQLVv49iNP4tT5i/BIwSpH4EBCwTDQ3NqMTZs2YNeunWhrb0MqlQpuCpVuBnU9CDikEnHugBCFikYwSXNv6D+oU0KhgNWnxpyM7pMexQtcffiJhxjElVTOE9J/UBI6ZXkQq0og216hQscybeRzRQYgmhrBhfPncfy543jy4BNMlaLl0O/IYlcQXWiaiK6eVmza1Id0JsH5KhACwT5tMrl3BbS1QDBfLuoMbKgDsnfPPmzdtDUQyrMo3sDHPvZRPPjggzed0QQ6tm7dWtGRBAGMTElbQ7kgBO7IDOBOHEuv66XdjxumB3diUcJ9DisQViCswGtUgSrQeGHnYzkACLEY6G/4co4QgCxnte+Qdd0q94O0H7fufnwO73znu3gST9QfDtEThQBEcCckACALFQBy5eIQGutqsG/XDrQ01sElAFKJ96NuAdnxLtWC0MydQAnRuoI0chGW66Fs2ZC1BPJli602H3v6WQxfG4eaqoHlAJbrw1MUbN66Gbv37ER3dxdqa2o4C4Q2LEg6F6GSFkXTEI9GuVvD2hVJ5G1gAMKUrIBiRXoLtgrmoEJKKgnABm9bJaCwmhlCv7EZgAQdEQITtH8EDuidwEA+X+QEdUVScOnSJZw8cRIHH3kMphHQg4jKJQgeZEXgJPTOzhas6+tk+pVEFmKVrgeJ51VN4S4SgzYfKBV1Xu62bduxf+8BDPQP3OjMkGvW6Ojll+yCtLS0fN909NV8GZTLZWSz2dW8Cz/wtj/fSQy6iiHw+IFLGX4xrEBYgbACL1mBpZ0Q+tDtBiC0fPq7vdwjBCDLXfE7YH1Vega9s5OT4+Dq1auYn5+/ae9J+3Hw4GMcrkfOTwRAaEJOE+IqiGAr3goF69N/+p8wfP4sErEo7r1rHzpbm4lTBZE6HBw4KMAjehJZbbIQO6A60c9BB0SCS5QmF7A9H6IWx8TMAg49dwrnLl7F1GIRYjSBhYUcTNtF2/r12HtgH/bu24V6yvyIBDQrGmQBSkJ0Sg1l0Tx1V9jyFvw5Ggw0uJsTgBGmT1GXBh5kSXqepkSJ7ARAOAuEuiLBNru+yy5YrhPUkb5PGhYic9G+lEs6U6WIjnXlylWcOnkKD3/vEdgmWYoG3ZIAXEioqYmho6MZXd2tkCjBkQIcfYe7HxScGIlG2KKURe6OA0O3EFFJhP48AGH9DLtrOezA9dGP/s6LuiDUwqXjupSGtVwuHstxaRH4IBByp46loCMEIHfqWRDud1iBsAK3swJLAcftBh/BfEYBOZEu9wgByHJXfI2v74XWu9WJ861Szz/32b/BO975TgYglH1BLYSAjkTGVoEGQpaqAGQGn/l//wynTzwH37HwpvvfiL6eLmhEW3JIiO3zRRToI2yeSFP3hJZHE+vgiQLRl3yKCOBwQQohHLl6Hd999Alcn80hpzvwlCgKhTIULYpdb7gXO3bvwMZNfUG4YIXqRZ0UmmjHK6J5ttj1af3yjTA/suZVSCTPwYI02Q/SzqsaFRavM+1KZtoTIRfaxmr3iCb7TiVckbBU4IgVcO+DbBCy43UZgFiGBUohP3PmHB76zkMo5PMMxKjbI4o+tKiMjo4m9PS0obOrlbsirmvDso0AgCgya1ho+VQ327RZhB6LxrgDsnfPfmzrH+DjQWCKgBLpP0YvjeLAgf0v0oJs3LgRiUTiBghZTh7r7b68yKWE6hSOJXkzYTHCCoQVCCsQVuA1q8BygI6lG0sPTSnceLlHCECWu+JrfH23st5dXFzk7I+lg9D2mdMnEYsnOFSPJ+LEYQqCwgMqkOczHUvwPWTnZ/DX/+XTePbQM8gvzuPNb/oR9JMoPBWHbRpsxUtdFI8n0QRAAoE1dSDoZ+qAEFAIAIgP2wN0Fzh/6Qq+/fBBTC2WkDdcWL4EX1BQ29iMN/7Ym7F+Yx+amhsgCD53JwhQkRNUdRLKOgdy7RJFnnSnkgl+TyTjiMWiAXCpdEB43yqp7DfCEiu6Dg5HJJBBwMOxmXrFjlgVV6+qJS8lljM4sQnM0L65sAyTgwovXLiA7333YUxPTXEeCAEu6nREIhK6e9uwrq8L3T3tEAXaDwuGWWYXLMpcicWjDJS4Y2W5TO2KReLYtm2AAUj/1m2BXoU165TUHjhi/dIHPoBvfOMbNx1b4pK2t7e/SIy+2rUgd2IA4Rq/XYW7F1YgrEBYgTu+Ajx3SaWWvQ4hAFn2kq/dFb6U+Pzy5csv4s3/xm/8Ov74P/4RtEiUgUPQ/eBc8wCHVEykOMmcAMjCHD77V3+Jp594DBNj1/DmB+7Hzm396Gprhl4qwHVs7krQ03mXszIIdFAPQGBKEgERErgTMYsACInQC4aD4StjePzQUVydnMNMtoyS7aG2qQ29G7fgDQ/cj7qGWmhaMEGnrgVNvAlMjY+PY2ZmhtdBYm0CUQ0N9Whra8W6nl40NjYgXZNCRFMDdYfnBa4WpAkRApF69SWKMtOsymUD5XKJ6U0EBLgEBHyYvhVoQWj9iqIiHkswDYtAGlGwSqUSLl++goOPHsToyAjmZmbZNQu+AzIWa+1swvoNPVi/oZs7M65LAKLEKeikU4nHSdsSPNWmkEPHshGNxFn7sWf3Pmzd0s90MN5fUWA6GN08vvmNb+D973//TSc10a/6+/tvABD691qgYd3J+o+1e9cK9yysQFiBsAJ3dgUo24yMgJZ7hABkuSu+htdXBSBLgweJqkP0q0CT8fx46LvfYfqOqlGgn8I2szwBrryqkRk0cacJfCGXxRc++zd4/LFHMDpyAXfv24fdO7ahf/MGGOUiXMtiFy3SrLOWwnYqjlhuBYCITNFiGpZPInMPZdvH2NQMnjt9HieHRnFlfAZF00Zrz3qs7x/A7n37kKlNQ5YF7krQE/9cLgcCVBMTE5ifmwu6NJLEmRmtbS3o7urChvUb0N7eyiAkmYyzLoQ6DUy5qmSF0PI4UNBxYFouC8qnp2YwNn4dZPOazWV5kk9dAwIHNbW1qK9vRG1dLeKxODTq9lSF+hCZBjV+fRxHDh/FmeMnMHblKlsN+6TzED3UNabQt6ELmzf1IRpVOQOE0s9ty2RgFSUbYaaAUTPJZ7cr7oD0b8ee3XuxdfNWpoQFWSFCEIxoWlhYXMCe3btf5AzV29uLmpqaNUXDutP1H2v41hXuWliBsAJhBe7YCtTX13N+13KPEIAsd8XX8PpeSL+qWpaOjY3dtNebN2/G4wcfDYIHl9CveKLOAXxBaB8BD6Ik0SS8XMjjH770BRx85GEMnj2NfrLG3b4NB/buhGMa3AERBbJ8rcRakIaEaEy2xRN5mjQrsgJRkkEMfrLitX0Rk3NZnL5wEc+cOIOh0TGUTAft6zdi47YdGNi5izsf1C0oFgrI5XPIZbOYnZsDpWETIGGtBbl1iSKLuNpaWxmEdHZ2oLW1BXV1NayxID1KYEsbCMOpk0FaDstykC+UMTe3iLGx67h0eRTXxq5hbm6WOyFEi0qmEmhta0N3dw+6urqQSWdY+E4dEXLQ0hQCIx5mZ+dw5tQZHH3qGVwcGoYUicGnJHnRQaY2inXru7Bly3rEYxFOa6cEdHpRfckZqyJxCQAIJaFTEOE2AiD7AgDiBACEdDnkwkX7YBg6PvrRj+LzL7DkJfDR09OzpjJBVpP+o6GujpPLwxFWIKxAWIGwArenAhRKOzs/f9tdqm7P1j+/VMrvWom8rhCA3O4je4cs/9Vkf3z84x/D7378Y+wWJSsqU4kCCtaLAUggJhdglEv456/+I5549BGceO4YW/D2b92I+++9CwrpRMhbyiPKFSD6An+HwYdpwiOReoWCRVoT6qlQB8QTFQYgJ85dwJPHTuLC6DUYjojm7l6s39KP3fv2s3h8cXEexWKBJ9u0PeQYlYgnkEyl4Fo29LKObC7HdC8CBgSsiIrV3tGO9tZmpJJJRKIau00R/YpyzWlZumHAMCzML+QxN7+Imdk5zMzOYn5xHmRbTLQq+hxRsJKpJOobGtgqr7amFol4koEVgap0krJJZBTyBVwcuYRnHn8cF86egxyJw/NsCKKD2oYEa0A2blqHeExjob/jWixGpw6IpqlB54h1KB5M3UJUi2L79p2BBoQoWBUwqEgSf47WT5kgTz75BN7+trffdKYT2Nq2bRt3nejn1U7DWm36j00bNmDT+vXLfvd5/0c/hQszFk7OOlj0o5BFEaqRw8zFC2iva0C5bEFSIrAtA65VREdzLVob0pB8AzXpOBIxEdnFIibHCwyaGzpTGJ0p4GuPjuD6YjMgt0D0XajIQpA8qNEm2I4PScshLgBtsTr8zJvT6Gx1cObYEHw7jYIs49SiAjeVgOp50BwNDgQYEtEX6eGBAEsR4Pk+2h75yLLXLFxhWIGwAquzAueHh3F+aOgmALLcAvIftnIEPAiArMQIAchKVH0NrvNW7ldELzpz5syLXINOnngOvb09gficuhKkZSCZeBWAUII51ahCp6KfTaOMxx76Dp48eBBHDx2CJgPrujvxhnsPoDadQlRTeeLMmR8+6TJEBgeOZXAYYWB0K/D6XAIgDgEQGWNTczh8/DQOnTyDi9cn4fgKmjp7sG7zVuw7cBfrUYqFHAu1CQgQACEXLHKIytTUIKpFmIZFYKFcKrL4m36mrkV9XR1aW5rR2FiPuvpazgoRJaIvUSp8AYViEcWijmy+hFyuhCx1VQwDDgvqA2tf6oAQCLFsm0XwNJlXFZUpWNQBofca6oioGgOhq1ev4dCTT+PC4AXuLlH4oSg6aGhOcwZI3/ouRCJERfNhOxUAIoDbr7QuqhUJ9culMlRZw66du7F/312sBSENCLtmMQAJEtopJLFULmH3zl2si1k6NmzYgGQyeQOErOZQwtWm/1gpAPJvfvfPcDXn49BoFgXE2RRCKC1AKGYhuGRe4EKNRZBOJiD5FprqkihmZ9HT0YS5mQnUZpKIRSP47r88jfmCjze/+2349tNXcPF6Ca4fhyBGEU1EYfk2XEeHKMTgCxoDkPVtDdAnTdQnJvDAG+uQm9Fx7PQMdj6wF9/67mk2YujurEG6TsQ//ctFpBs6UZNW4bomDI+c+ESkH/63a/DuHO5SWIGwArejAoNDQxi8cOFG2G4VfKwmEEJ/+4mCtRIjBCArUfU1uM4Xhg/S5JSe4g8PD9+0twH96hHuEhAAIUpUID4PEsSrb34QYM4dDQImpqHj2cNP45knn8DTTzwJvZjjLshd+/egq6MNmVSKnZuIdkUOUyp1OsgNy7JAS68+3Se9CcER0/Xg+CKujE/jqaPP4djZC7gyOQNHjKC5swd9m7diz/793BlwHQvpVIo3zTRMdqiKRKKoydQEdChV5cl4dnEBC3NzrOEgkEHfbaivQ3t7Gzo62lCTyUBWJNaTZLMLyGZzyOWKKJRMFMsmyobBtdCiEaZuJZIJFpyTWJw6LIvZRQY3REsjcEbrJJvP6W8AACAASURBVDCSTqZ5GwzdwNi16zh8+AiGL4zw7zyPROYeWtrr0LuuHb29nVBVAnwkbDdZhM4WxpSMzuFyrHxHPpeHLCqs/7j7wD3YMbDzhgaEwB2L37kLEgCQ3/j1X8f//Or/vOlYt7a28pOVaheERficT1I51qvoOlht+o+VAiC/8pFPYtZScW6ijKwp4crly5AsHZrvoKujA9cnppCqiaOhPoN4RIZrFOBbZWRSEfR0tkHXi9ydm8/ZOH+5gMePT6F5/V04PzyOupo4ZhZnYdI5GolDL2aRjGcga0nY/iLikgjFENHdbOFdP7sOF85M4+DTY5g3JNy7fxPy81mkYmSgsABFacDlSQdTpQISzRqidP5DRPvJP11FZ2W4qWEFwgqsZAXOnD+PwfPn+e/aUqOV1fQ3Lh6PI51Or0gZQwCyImVfeytdqv+ohg/SRJzE2kvHL/3SB/CpT/1JEOCnBvSrmwBIBYSQDqGaA0JP3UlkPXjmJA498zQeP/gY5mamUJOIYddAP7Zs2oimhnp2biLAAdeDSh0LCiS0bcjUdaiE7NFk2BeoA+LD8gRcGZ/C08eO48S5YVydmIEpKOggEfqWfmwZGEA6k4aqSBwcSKLrclln6hhdsA31jbwPNLEmSpJeLqOYz2ORgMjCPMqlEmsr2jvauOPT0tQILaIxOCFaF1nnLi7mUCiaKOs2TNJYiBJ/JplOVjQyBCIC9yvTMhl8UK3pBkf5HwREiIZF3YtcNoeLF0dx7NnnMDJyMZjoe0TT8tHRE6Sg9/Z2QJHJ8teBYZVhGQZ3dujpL3V2OOFdUpCdz1K/CPv27sMb7n4Ddu3YHQQ6kgidDgglrXsuTNtCWS/jCw/+HX7nI79z07GmGpEYnehXVRAS5LwEdsuraawm/QfVdcUAyO/8R8wWfUwXRTx7Yph1WXXJGOpqkigZZeRLZUQ1QFN8JIgK6FlIxVVkkjE0NdQxZdCi8zyqImcImJrx8dyZRZwdnYOSqocQSWJydgGCqEEvLsCgvJpUE2JJgUNJE0IUMCfwc/+qH5NjBk6dncHk/BTuv6sH10Zn4BrAfXs2QV+YRqKuEd8+NoFZy0JKFtDY1ID0mT9aTadluK1hBcIKrGAFzgwO4uzgYPB3sfKAbbU9ZCP7XbLhXYkRApCVqPoaXGc1/ZzD7Crp55cuXWKx9tLx2c/+Dd71rnfxJJ4mpVX61QtLQuCDJtr0tJ2yLAiAXLl8Cc89d4w1B6MXhyH5HjZ2d2Hfnt3obGuHbVkQvCD9nF5wHfiuC4msbCsJ6eRE5bMTVgBArk5M49BzJ3Ds9CAuj1MHREXXug3Y0L8N23bsQqYmw+Aj0GOY7A71vKZBYutfuuFwSGDFJSoS0dhOt1QscLejpaUJvet60NLchEiEuiU2KBuFOiDZRRKzO9ANG7pJ7wZ3WIiqFUtQlkiMaWAMDiDA9Rx206LuBr3I9Ytsh0mPQY5UFy+N4tiRoxgZHgFk6i4RnUtEW0cjurrb0NXZyhM/gVywjDIsy+D6qrRdrscdEAIgxXyR3/fv3o+7D9yNHdt2cNeDRf6BN3IAQBwLumVg6PwQ7tl3902HsaoDWQpAVqMd72rTf6wkAHn/hz+BsaksHCGO6dkCopEEqN/mwUHJ0KHFI7CKc6hNxhDVZNSm44hHFHZmI7pkJpOC6/koeCZ8geiUKkQtgs9/9ThOXHEwZ8ZRW9cBjwwUSEcCGbYXRV7PIhFVEIGCuELn9hSvO5bIYG5mBG+9rwtGwcVzp8ZRn6pDS8LCm+7biPF5C1/++kmYXg07za2bDzsga/DPU7hLYQVuSwVOnT3LAIT+rr0QgKyWLggFENJ8bCVGCEBWouprbJ2vRv9x4cIgmlvb+ISXxCAfojqYmUO6D6JY8KgkmfsuTMvA9PQUzp47i2eOHMLpE8dRzuXQUluD+++5F309vdzlIK0GCV8dk8CIyxkioEwNAiOkUmdeFz3tl2C6Pq5Nkg3vWRw6fgoXr43DFTX0btiELdt3YsfuvUim0gwuKPOjWKQJux10O3SdE8fppkOicgJdiUSSuZSdne3cJbBMA9nsIuob6tDT08UAhLQdRH0iO998rsD2u7blMwgpFAIx+2Iui8XcIlRNQzQe4+wQ6hjFolHuVkRUDalEAnW1tdz9MMplmJaFhYUFjIxewrFDh3BxeARCRIMgC1AjMlpbGtDW1oj21kbUphOQRcAyy0EaugRE41GUdQO2Td0QBYZuIqrGsH/XPuynJPTN/YFDAA0S2YhE4nJhuTYM20S5WMb+nftfpAOppqIvpWGttkDC1ab/WEkA8p7f+kPYNqBbAkzTgxZJcDdw5NIIuvu6WM/UlIpC8C2mULqWgWhEQTwWZTBPJxkBkHJBB2V4ipoPV9FwdjSH0VkNR8/nMF9UIchJmFaRQ0NtLwbTs6CIDmRfgCoIsJ0S8zlJN1WbEPHuH23B9etFHBuaRr6sobdBxK4eH7s31WJsMYYvPXINI6PX8NboP6+xu3O4O2EFwgrcrgoQADl99mzF4ZJcLp+nGa8WAELBwfSQcCVGCEBWouprbJ0vzP+gp/HU+RgZGblpT0n/8djjB1nATQJpkVyhWBoejOo7YYQbMgEK7WMAYmJ2bhbDF4dx4vRJHDtyBPOTk0gqKu49cAAb+/oQUSPsNCXTklyX09H5RVQsh0SrNgMQygtRIxEUyibTOS5eG8NTR4/j3MgoFksGBnbuwe79d2HT1m0QZQWlUpkn91evXOWwPwICtAwaY1cus/uUFIlg/4H9HMBXX1vLHQICILl8FnW1NejobEdTE1G2FNZdFAp51sgUCmU4loBCgQDWHAOzQqmIQ0cOY25hnjsiRCWrqa1hPQWlqxPwaGlo4uRS2hZVU5iaNTc/j3MXBnH8yBFcHh2FkkzAE3wOHuzr60ZHRxNamuqQikUhURq6pcMwSnA8B4IsQSc7Y9eDQi5FpoN4JIEDu/Zj/5696N+8lRolrK8huhcUwBU8FgOTGJ4E8B/8tQ/eUgdCzl10g6s6Ya22FvVq03+sJAB59wf/PdtOE9Ynd6pS2cD0zGxw7GUgEY0gFZPQUFfDXQwKyqQOo6YpkFUFvkfA3QIKAttF64qAmUIRCwUdU9NlTCxKmHNq8PTZcSiRKAzdgy+loUajcJwcbF2HJtI1EYXtGbCNAiKuAvhxIGLC1yxIUBBzFnBgo4if+ZEOBh75aB8OPnkEjVe+vsbuzuHuhBUIK3C7KrDaAchKOmDRMQkByO06M++g5d5KgE7+2FevXr2pCu9733vxn//iLxCLxoPQQEoFXwJA+MOVp+xM9am4YtEEmag+tMxr42P8NPXpJ5/E9UujgGFi/67d2LxhIxrq66EwVcmHRCDEc7nzQQCELHlJTE4AhITdWjSKfEnHfL6EmYUsDh8/hVMXRnBtaga79t2F/fe8Ab19GyAIEorFIgftDZHjxeB5BhL19Q2g1uXQ4CBrObR4DHv37QM5P2mKwva9FPJXKOZRW1vDtrz19XUMQDyXuh15FIsl7qr4noxyycLs7Dzq6usYdDz08MMYvXKZOyIksK+tqwGllZLOpK62Dn2965BOJhmEpNMp7sCQhe/ZwXM4dvQIRi9dgpIgF6JAA7NhywZ0dDSjob4GMZW6RIBAOhCzBMux4PgeLBLwC2TJG2Mb3hh1QHbvx1179mHblioAIWqcB8g+PMmH6VvsDGYaFr7wt1/ARz/y0ZuOOWVRUHZJFYCsRiH6atN/rCQAec///sfssOb5Fh/zsmXBcX1MTUygoSaNxloyV1BZ92WZOl8L5HoVIQDhuhwSSjorEABOZDA1W0JJtwAJmJmbw3TOwaKbwaVpF8PX5+EISQhyDWyP7LFdKKIL11AAIQIoDgSvBM/yUEISclSD7yygIS5CNnN491u70V0rwc9dg5UD4qkMvv6F/3QH3bnDXQ0rEFbgh6lAFYCwdlKWV10HZCUdsEIA8sOceeF3b1TgVgL069evM21p6fjEJz6B3/7whzjgjjsIonAzAKHWB1vwCmx/xRpqpmSQ2NnE7MI8ZufnMD0zhcceeQTDZ88hPzuHHVv60b9pM9atWweJgIvnsVUsARASoQs0sbFpokyhe6RxkCGrGkqGhZJpo2Q5OHV+mF+DFy9j574D2Hf3vejs6uXkckMvYWJ8AheGhtjVi4IGe3p6+XXx4iXkcll2xero7OD0b8s0mbbluJSeXkJNTQYtrZTfQY5ZBEA8FItVAKJDklS4to9CoYS6hga23H38yScwNDyMfD6H9Rs3MNCgydrFoRHOFdnWv43td2l9BIRIIzMzO4PB84M4dOgQhkdGoEQ0eLYBRfSxfttmtLY1o6YmBVUEVEmApkiwHIOF5LROFz5EWUYkGmcKjCZpDEDu2bcf2/v7gw5IFSVShoLgwPAJ2HkcXPjs4WN461t+/KZjThoWomG9EICsFiH6atR/rCgA+dU/BgQHkuQyTc+jEFHdhKaoqEvEEddEWJ4Pw9IDtzpFRjIVh+P4DFQMy4btOpCSNigxVJ9z4ZYFDgjNeSZmShbKVhQLcx5OXl7ARFGCJ6bZ0Q5SGRFNgOwn4XkafNGEL4twpQiK+jwUR0ZCiAOCC0mT4Bcn8SMbo/jZezsAOwtBlvH3f/Ufwjt7WIGwAmEFXlEFVjsAWUkHrBCAvKJTLPzQy1WANBEEQqric3q/lQD9S1/6En7q7W9DRItCIoG0JLKI+iYKFmtAAu0Hia8pHIxyMQzLxNTsNPLFPIiT//hjj+LsiZOYunINfd3d2LpxE7YPDLBAm4CHSgCEhOGUkE4Be44Nz7H4ySvxwulpK+WA2B6gOx7ngZAj1vDVMbT39GHDln50dfcgomlM3aIOyMz0FKanZxhc0JN8Ah2kBSEhfSqTBl3MxGMPEsXJxYusbq0b9KlMOsXCe1o/CdRLxSJKRQoaJBE7UbZs6JaJkq4jXywgn8vBMA0kKPDQdWDoZQZsmXQaLU3NqM3UIJlIQItEuJVJ23hheAiPP/YYzg2eg5aIs71uIh5F7/oeNDbVI52Mw3eILy8gGlFhuzZ3QKi+jC8oZ0TVYJQtRNUo9u3Yi7v37sP2rVuf14DQDooeXMGFhcCW2DIcFBYL6O3qvel0oToNDAzcsgOyGjiyq1H/sZIA5J2/+n9xh0wSCYTQowSi9MkEbRGPxeDZDl3U8H0XmiZC02R2yiJXOhcSn/+RWASiqGNxZh4RIQXLkmB6PkxZwFQuB2JoCa6CvCvj4lQJp85OouzXoeQqELQon3+KJyAienAEE1Jc5cBP11IggbRnJC4h+XoJnjGPf/2WDbhvA5lLePi7T/37l7vdhb8PKxBWIKwAV2C1A5CVFKCHACS8iF6TCtzKAWtwcJCfyi8dJ0+eRM+6Xmgq5X9ILw1AvCAAhCaoJPB2fQ+6aWJscozpSTTDJzve08eew6Wz59HcUI+N6/qwf98+aKrKAEAjtyunAkD8gIrFYIQE6i65TZmQVEpEFlG2XZQtj+lYlyemEUvXoKmlHd29PYiSO4TvsuCcnK2IAjU7N8eaB2KLcShgJIJYLH5TvgVlZBBQ8T3Sb9SiqakJKcr1IJ47gBInnRMAKbNcxfcDztliNoeiXuIOEWlpLNti3Ty5X9EPlHpO4X6peALpVJr3l8T11HWh7tCFoWG2KR4aHkJ9SzOS6RSHItbWppFOJ5hXb5XL7AxGjlxMFSOKG2WmsFsRAT8JruUhGU1gz/bduGv3Hgxs2cJgkYu7BIDYsGCRw5jtwCpZnBkyOjp603HfunUri+iX6kBWixCdtD8E7lbbWCkb3p/5lT9g0JFbnEMyGUVHa3OFkkUObnRNeJCITwUb0ajMQnOi8Pm+wh0QWZVhOCY/SDB1HXrZRCzdgPmCiMeePgfLU/lQdHc1IV2rYnxqCnM5GTN5FScuzsCNpGDYLlRRQVwiZzcbnixAlMjlRYBpOXAcF5pCuTfB/WFTg4t/93PdsIwC/u7TIQBZbed6uL1hBVaqAqsdgNC8hB4SrtQINSArVfk1st5bOWDRxPnUqVM37SF1BkgTQtayqqJxB4QoWLfqgFTzJmhCTl0QBiCWiUtXLsF0bERjUZw5dRKnnn0Opw4/i4QWQU9XF+655x6k6Km/JEOhcEMWn1vcAfE9m/UQBEBsx4WuGwEA8YECUUQSGZA8dXx2AZYHRGIJ9PT2gix1aaLiOgF9i8AAaQJ03WS3KKIY0cTapSe4FQviILPD4qRxAgekAWlsamKvbZWoZ4LAuhLqgNATdso8IUBGQKas6yibOk/WCMAZpskZIPTd2poa7rCQC1Y8EuUUdtogQ9e5+0Qi9PPnz+OZw4dwfWIcm/u3oqGpEfFEjMETZX1ENYXBDzyHAwkJCFDnwyahPwEZTkIn+1MRNckMdg3sxIFduzCweTM1PYJBB400IIIHgi30ecd2YZZ1vOsd78YTTzxx07GnLBCiiq02Jyw6tynLht5X21gpAPITP/8hlMoFaKqEzRt6IVLHkQCuZfM5TvRHn69BE6riQRYEBiCqFIVlk/00UCwVIKpJzsWZXVzA1IKOU4NzuDTmsOOVIgEb1regNlZCVHERiTZgoSzi2fNjmDUE5C0JrqshHs1AEGS+nogOpmgiBKJkOQ5M04EmJfi6TdlT+LNf24qobOLzf/GHq+1Qh9sbViCswApVYDUDkJUWoIcdkBU6adfSam8FQMjdiQTbSwcnoD/++A0AQrkW3w+ABBNdCq0T2MmJAMjQpREWo8cTSVy/dhXnTp7EoceegGeYaKpvwIED+9FMnYZEAhJ1UagDQU9AHZvfqQtCpBDaZk7x9mi5Dgq6gXhNPTxJxcTcAvPNZS3KAIToS4oksJCbLUJdl8XjNGniDBOemwo80aLtpaer5GJF3Q0CEwRAaPJNVndE0SLRF036i4USiqUidL3M/yZhPAEFmuOTGJzC/YLQDYHT1wOnII0BDAGQKP+sMgAxDYNT0ImCdX7oAqamp7m223fuYPoahR7Ozc8yNYY0KHqxyPWQiAJXedHMz3BdWKSboZR1y+EOyN7tu3D33r3YuXUru++yOxmjRh+eGAAQymwhAGLpBj72Ox/Dgw9+/qZjT4noq9EJi4AfGR+sxrFSAOSdv/whJBJx1NakWeNBVtj0QILpdoLADxNcpkES2PCgUBApZDZi0HUSrNuQZQG5sgdia83MFzG5UEbeieHqVBFlU0CGHmLAQ2cdEap01NbUwRcVjE5lMTSxiKmihMWiBMdS+b/HEuSIZcJ2TXh0LStkM+1DkWPwXRkp5PHx93agMePg//vz/3M1Hu5wm8MKhBVYgQqsZgBC8wkyiVnJEXZAVrL6a2Ddt7LgpYyLixcv3rR3b/upt+HBzz/IuRYcQCjJPCG5pQaEOOLBvL4CQChXwMT5kSEYtsWaiGI+h5Fzg3jye49gcWaWOwI7d+7Aut5eNNbXs/OVSG5NngvXMuEzCKmmiAf0rjIJ0A2TAUiCAIisYWp+EfmyCUFW0dO3Dpl0AjFNYZtQmuwHdBHSdwS6F9OkXBAKTJQZjJCYu1AsIZvLolgo8O8IgFCrk7oYSgWAUAYIdUHKRLeSqfuhIhaPQYtEOXSwbJQoBYV/5o4Qg5wA6FDKO4l6OVSRJv+WzZa+BDxIfK5qKhqbm7GlfysmJicwNHwB8wuzlcRzCWa5DJfCGnwfPoUKShIkRYFOHRyaNEoyA5BENI69Aztw95492Ll1C7HiAr0OgxCPOyCO4LLlKlGwTN3AX//lf8Uf/MEf3HTsad/b2tr4uK8mK146jymAcjWO7wdAZJlApgBVtZHJFLB7D2XzzMEyVVy53IqrV1swP5eB64owdMrmeOXjN3/3E0GeB117dJ3YJC53eQElAtuSCJnOXVWGB5dBhuVIyOdtSGo8sOaWBORmplAumJieK8EWo1g0TJjUHTEMNNc1YWJ0DJt7OiC7RbQ0pVBfm4CoxnBmdBpXZi3MFWRMzxkYm5iDFI0jmkjAIpE7dyoFRGJpmJbLLneqk8c772/DXbtUfP2TH3nlOxt+8hVXgGgedO9rovvS1q38zjpAfhhTwND587g0MsLXGz3kYfrtKuw8vuKCrOEPRsQI1sX6MJDagUfnH8asNcO6x+UcskC6M6Jiq2iLtGMguRN1ah2y9iKu6JdxVb+ColOAw53/H5xiu5oBCFG56bWSIwQgK1n9NbDupQCkKkK/lQXvu975Lvy3v/lviMSiPBHlDggDkCU5IHTHoIfrYkB1YskBUbAAtvMcHDrPWpBEKsluV2Ojo3jqkcdwZeQii1s3rt+A/v4t6Gxvh2dZTO+QBcAyypylQU9jfXrxSgToNwCICS2ehiPImM3mkS3qgCSjZ30f29amkxSSRt0GjyfamhYJwIZlVYIJfQ5VJDoVXVCUizE/vwDKj6DP1dXVcwcgkUzyH2Fa/+JiFvlCoCshcEMvEoynMjWIxeOsxiAxOgUfEs2LOh8EPghscMdEkthNy+eXj/n5eUxOTmL06hV0d3ejb/16tHa048zZ03j22FEOchQF2k4RtmFx1gI9mbap40HARlVgEGWNbHhjcUiCiHQiiR1b+7F/+wAGNm3gDgiPShfEEyiK0OPtoBwSWuaDn/s8PvKRmydxq9WKdzXa71ZvKd8PgIhER1JtbNh4lcHHzEwtZmdqQMCkp3cc8biOa1db8PSTO1Asxl7VXeq3fv+PgiwZUUYhT51AohFanLujxaIolkocctne0cEPALJlC0VDxJkL1zC7qCOeTGNdXze6My4kV0e5bKJsuTA8DwUKAYUE2ZeRm89DVkWomoXmjIzutjRn6JQsCYOjC8hbGixHhukTeJFx9fo8FnMOimXqqCqARLkjIizXhOzp6KsX8fPvXoeH//zfvqr9rX64rr4e97zxjWwnbFuk2wqMNJbyq2liTS96oDA5MYFzZ84wfXKtD6pBPJHAhk2b0NrWhnKpxEGsdLzSmQzf74gOcmV0FOdOnw5oqZUHPGu9Nmtt/+hvVL3SgB9v+Ek0ao34p6mv4oo+eksAEjxUE1Gr1CImJRCX4gwOdLfMZak8hoQkyEhICWxObEV/sp9/R+6YqqDyQ7nH5x/DcGkIjk8qxuCPlCRIICC0PbULvbFeTJqTyNlZxKQYuqLdiEpRnMgfx6n8CVie9QMfhtUMQFZagE5FDwHID3zqhV/km0SlG0B/MKoAhOx3x8bGbirQu9/1bgYgLEZWAx3EUgDCBCfi/pD+nOlOAQCh5yYEGagDcu7CBZQNHdFEHIl4DHMTkzj29DM4d/IUCtkc2lrbsIu6ID09cEwTGjk6yRIsvcQAhDoiRIlyHJvBg0uiVNtBoWxAUKOwBQn/i733DrIrP6/Ezrvh5dgR3eiARncjY4ABBmlyzgwipdVKYu26RHnt9T+mqlR2udaSvStpXVtrlcWS1yVZS3m9KoqSOBwOhxxyAidwIgaYGeSMBhpA5/T65Zuv63y3X083JgFYjqcb7It6BaD7vfvu/d30nd93QqFSw1S+KO5YvevXobm5AdlMAokERayc6XcDGhUCupUI8F3OqgYuYKZpySzexMSkABCq6Um/6ujokM4NqVacDSJIky5JuYx4LIJ4nKnnMXkY0z5X9n+u3cCHM517+GIBw6T3MAMSS2Up+tllIQChXuHS5cvo7lmD7p4epDNZnB84h1OnjqNSKQn4UhXSq5hRYkt2B0GHQ0wR1mF6LhRdR5qUscYmtK9qw/qetdjU24O+jnaKcQL9uXgdBxoQ/qFNMseCwObjAAhvdARFyykLZLna714LANF1B2t6RrB9x2kcO9qPc2e64LrUA9GYwMLOXSdx173v40dP34eTx3uv60b38G//d2jINqJSNuG4IUxO5uFBg0u6YggoV6vwTUfyPgx2J0NR+HoGk7M2posGLBbovoftayLYvDYNLVSC5xioVAHboyNWWOh+WsjDrFFDPBVBc9pFS5rGCTbCiUYMjpZQNnxUaxZmKrSKjmMqz+s9jam8jYoJ1KhzYlMTDkJuFTF7Av/1P78dH/zNv7qu/a2/uaGxEbffdZdcnyykeS9g4c1zvu72RqokaZkEKLxHUAN2s8/yc985gXLLrbeirb1dQNfFgQGZ/ODC8ens6sKmrVvR3NKCs6dP49jhwyhxbNhaXVmW1QiElTD2Zm/HA00PwXBN/MPodwVUfFwHhOAjpzfg4aZHMWNPy7Xw9uxb0plYuGS0LPbl7kBLuAXnqmcxWL0I0zPRHA6AzrQ9hecnn0PezktoMReCj63pbVif2IjXZ17F5VqQScbvJNB5uOkx9CX68d3h/4whY3Gtcj0DvpwBCIONv2g7/BUAcj1n28p7PzIC1wpAfv/3fx9/+Id/OA9A2AEhwAhm1YMuCGfS+UNqE8j34a8cj/acgGGbOHnmNEqVCsKxqKSBV2YLOHPkKA68/Q5Gh4bEknbXztvA2V/SraKaKna8jmWI5oH5IPw5HaPkxFdVEboWK1V4ig6XtrxQMDI+KRkha/v70dzSiEw2hWQyJgCAHQ1SoLjF1JHw/9xu23IDhy3bke7GyOiopKfT0ratrR1dXV2iXWEHhMvo+JiABibGJ+IRpFJxpLNp6JGwiHVZrFGUzvdTNMsf0EJYxoehR4qC4mxB3Lhs28X0zIcAZE1PD7rWdAud69KlQQwMnEWpOBuI8OeAnmVSZ2LI/puuB84Bmb6LaCKBzu4udHd1o7uzEz2rO9DbsQqdzY1Uqsvnaa/KA+eHSKJZDEB+/uLL+I3f+I1F58lyBCAsEDlLu1yXT+uApDNl7Nl7DKYZxnsHNqNWiwQubCK78tHbfwVPfOl1HDm0Hq+9suu6hmDNnb8Nj8BjuoTpmTIsO4SW1d0oGSYsh0W/Dt+wEY2FoYSjyJcNlE0gEmuAokVFP2VaVejuNHZv7UBXswarPCpUCsuOwA+lYdSovwqhaNjQdAWN3vHiwwAAIABJREFUSQ8xlRqoGYxP1eAqSUQTaUTiYRjszHlhWK4mf18ZK6LmqCibNFwI2q3MLEnqNey9rRPVl/+369rf+pszmQz23H672Ia/8+abco8JxrNuMh5M1ix8cfLiZl54P2S3e9fevcjmcjh5/DiGr1wR8FHfd44PQQgpozt37RJKCEHKiePHBaitLMtrBPoT63Fn7i6ZmMpqOXx/9O8xZo1+LADJ6jnc03Cf0KLGzDGsS67Ha9OvoOQU53eanYye+FrsSN+Gd2f3Y9wcg+0H5wVBxv2ND6In3osfTzyDK7XL0gXhQrDyQNPDOFo6jPOV8/M0Kz63+Wd3di/uabwPP5t8DkeLh294kJcrAFkKAnQO+goAueFTb+WDHIGrAQgfLsPDw+IUtXAhAPmjP/ojabuzAzKPvBfkgMx3QESgHgAQm0U+QrAcGyfOnkW+VBQe+arWFoSY/j00jNd+/jJOnzgJyzCxa+dO3LJlM1JCIwpCCdU5MSxBiG0YUtDzAej6PqqGiXyxDE9RoUXjSGQacPHKECbzs+jo7kZTazNyuYxoNJgJQvoV9R5cOMspD1OHGg1FROGcAc1Pz2JwcFBE4dmGRnR2dqGzoxPhaEwoGqRzXb58BWMT45idnUE0oiGdTqCxuUmCDykg54sAJByOSgeoTrWSMRfXKWZvGAJAKuzaTE1ieGQEAxcuYP2GDRJeSN77mTOncOrEsYCGNgfCQr4i2pViuQaXHGyGGOZnZUa6obUZ+/bdLpqV1qYmrO3sQH9XO9asaoZkywXeAELDEotkdkE4k80sENPCSy/8/CMAhNqX/v7+eQ3IckhDZ4eKXbLlunwaAGlsLGD3vmOi8zh2pB+mqUsWDY+ronjo7b+Mx554E2+/uR0H3w0oD9e6pHZ+A+OjUzh3fghVw0NDSyeS2RbMVmtINTSLAx2vnlKpKJQsNRxFpcqOZNDyjEYJ7h3RJvlGGZs7c9jW3wSzNAIoptCntHAGlYqPQqGIqO6gc1USZmUWjqtAj7agZCmYyE/DD1mYmpiFUQkhnk4jls1iqliD6YUxW/FgWLS6VlAxKYwPMYUE93t/c627uuh9pFfu2bdPOpg/f/55yQe6noWFOE0qbtuzR/RcpCnx4cyuSZ22VXfNu5711t/btnq1XKMTC+/LoZBQO6nHGBsdne9KBBlMinQustms2IgLbTYUkmvi8qVLgfHFZ9hTs1Pct24dbtm+XQDFyWPHPpFaxfWzA3Lfgw9K5/jAO+9gckGQLZ8bBCnslhDscfLn8uAgrly+LGP1WWCurinh37wHM9iVXSv+uw4RR4aH5Z7NLj33e3xsbH5MOI58ZpEyxmU2nxcNC7s09e/mfa3+b66DlDM+B0eGhsQFkZ/nOutdr3nw1doq30vQWt9OvjcWj8u+cjs5EUW6ETOXhi5fls55HeTeyPnweX2mNbIKqyOrQXCxKbkFT439PSau0oAQAOhKGDvSO9Gb6MMzYz/Aqkgbtqd34KWpF1B0Ppz4oZaDoIaU5AvVgUV0KdKoBIDE1uLZiWcwYgzPAxDqPu5rfFC6H+PmOCzPlOdVQPtSsTe7D3fk7sIz4z8Q+taNLssVgPB64sTgF72sAJAv+ggs8++/VgDCFPRvfetbHwEgki0xt9R1apzd5ML5QYcAhA8+x8bJ8+cxw5n8UAitLc1CsarNFvGLn/8cRw4dxtTEJDZv2ogtmzZhdesqoV/Rgldn1ew4cC1DqFmkY0kYoeOialoolquSzgxNl5nTK6PjAkCS2QxWrW5HWwf1G0lEwhEBH7qmycNEHhaeBwUKNJXFjINqpRroMUZGpUDKZHPo7OzE6o5OqKoWCC8VBZOTU9K1KBTyAkCSyTgaGnMBONNUKcAo1BenLQIp/vEVeKSokEvOba9UxSGLYIS5H5evDEmA4a07dqC3vw/FUgmnTp3E2TOn4JhVEeJLOKNL4MX9NsRymPqa2UoVflhHe3cX7n/wAWSzGWSSSQEg6zrbsKa1SWx46RgeHB7ezucACLUxcxqQA/sP4OGHH15cnC0zALKc7XfrA/9pACSbK2F1xwS23nIOJ0+sxfmzXdIFYfcjw+7I7UexecsAvvufn8DYaNN13aGMNb+JkZExqFoU+WIFqUwTbC8Ew3LFcY5dR8tTpfNAZzeGeVITUi3XpJvB66BMG99ETHjcaV1DZ2MM29Y3ozp7ARHdR63qIp5chfGpaXrGIRXXUShMI5tphmEpmC1b4EWvR1XRMUXVMGZm8tD1GAzbQzyeBpSwdA45wVGumhi8PIpoVEdH/nvXtb/1N7NY50w/NQ4/evppKYqvZ+H9pKOrC/vuuEOKS4KFMMX8cwt/z8LzvQMH5n+WzmRA7QmpTfyb4MexbRFznz97dl5LwQ+wO0OxN7sQC2lfLHAJet595x35PZe6doXggS+CDoaiElA0NTfj+NGjuHLp0meCrFVtbdi9bx/yMzN4/8AB2Z5PWurF+PqNG8HXqRMnZFu5sLAnONl2661IpdPiYsbWM9fH/SRtiwCGQIrFOsGgTB7QNMR1cfTQIfl/PXuI47V12zbpvOTzeRkPbivBGcdXOrZr1+LQe+8t2kd+R//69QII+b2cICK9luBtIRjjsWLHZ/fevTh39qwcj+07d8r2HD18eBFY4rbuuO02+TlBTX38uY6e3l5s2LhRJrrYjeU4EMicO3NGvv96Qe71nI83+l4+C6NqDLuze7A5uRU/GPuHjwAQLaSLLmNrahuOlA4Lpao71o3bsnvw/MRPUFgAQGQ8+GfOlKCu8eDPCHJ+q/0bGDNHBbhU3PJ8pyWn52T9nbEuHJjdLzQwx3PkntIcbsGDTQ+D1K7/d/hvFnVcrne/lysAIQDnxOAXvawAkC/6CCzz779WAPJnf/Zn+OY3vykOOQs7IAsByJzoYZEInRQsFuACQAbOY6ZQkI5Ac1MTEtEoVMfFG6+9ig8OvofBCxfR1dGJ9ev6sb6vD4loRGZbI6oC37ZgG1W4liUAhHoIy3JgWJaAEFKuTFIy1DAmZvKYmi3A9n10rV2DvvXrkM5lJfSPHFIWTnx4EYgwc4T/J7iolCpCv+IsF0Xo1UoN0VhcHKAoumVuCG+ntMYtlSooFguYnc0jkYggnUogI52WqDgEEXSxQyOZjKRcaZoI3dll4AOQvygVS/IQomPVgYMHMTw6KoBn1+5dWN3ZgXMD53HmzGkMXrwA36pBocYDPqoVQ7ofhVJNuPA120XNcRHLZrB2/To88vhjElLIsLa1HR3o72hFd0sD1DkAEjgSf0jBkrR614Vt2jh98hT27t27rAEIb4qkzy3n5dMACEEGHa523HYKm7eex8hwC4Yut8r84Nq+K8jlSgJM3j+wCYZxfS5YR0MPyDmZyzVgZrYIxw8h19CMctWQ9UuujcvuXoxGarBNE8qcNbZpmUK1DKmccKCGxEdDugGt2SRakh62rWuEa8wiFkugUHIkANMwKmhqzKBSKkDXmaPjQlEj0GMMGbUkEDFGh7loHE25JpkoIPWQOibbtTFbyEMPRxGPpIROmf/g/76hw87i/NadO7Fx82b85Ec/koK9XujLHMucKF10b9SSiXYscOXjUp9dZwfg8Pvvy8w5C14WsrzPbNi8WQrUN157Te4FTS0t0unk7ylon5kmGAOam5vR2taGsZERfPD++/OCeK6X5zSL8YUAhIU9QQLXy23mwn1hAb7lllvmNRvcSs6abt+xQ44vXasYzvppC8eD282OELdP7lufstTHgCCMFMhfvPKKjAv38Y677pJuxeDFi5idmRGaKu+pDU1N2P/mm9KpWN3ZKc8XgsAP3ntPvpPbSioXOxOc/GlqahI9SiGfx7EjR+S+JcX+2rUgdZVAjMCut68P77799iIXPALCbdu3C/A5c/q0UH63bt+OI4cOoSB6v2CpA6bbdu8WEHVhYAD77rxTgMQHBw8uGgeCHQLXg+++O38M2e3gpNWWbdswcP48zp85I9Q+ngcETtwPivWXKkWUQm9qNigaf2p0cQeEAIC/f6TpcYyaI/ig+D5M1xCa1d7cHXhu4keYtT8cy487XQLwkcUdubuxJt6DV6d/jtPlUwI+6gAlpaXA7sndDfcJ4BgyLmPYGBb9R39infyOlK6zldPzXZMbufCXKwChMYy4FX7BywoA+YIPwHL/+usBIL/7u7+LSCwa2PCSZjUXKfHhGMw5Ys0F/gUakECMbTkWTl0YwDQBiO9LKB9n6JPhMA7u34/3Dx7E0cNHkUklsaarCzu3b0M2mUJYVRBja9w2hYbkUrTtMJTQEQBC21zqIArlCopVQ2ZqC5UqZgoljE9PY93mjbjltp2IxKNIxBPyYj57HYjQDlda4wQGXM9sEQMDA5icmkSxUBQHIGpA1vb0IpttkCR0Fh8MQmRBMDo2iva2ZrS0NiHXkBOXMAI0jqtDABIKCgKGN7L7QrqVgBAK3msmpqemcenSZRw5elTCD/nQ56wlAx9PnTmDwcELmBwbhQ7mekSRiEUxPDSG0YlpTEzlYUNFxXZRqNbQ0tWJLbfeikeffFwS3ElZEwCyuhldzdmPAhDe7pUgU4XdJG7XzQBAlrP9bv1a+jQAkkpXUC6RXlPChk0Xsff2o4hELXiuglIpjtdfvQ2XBttQq0UFqFzP8lppr1BHWKQxrFMPx8QBifonBmXSAIFCbLq7xaJRAdKswSXE0/eksDQ5WeAyE4RGDwpiYR29qzNY3RRGX3eLaK7y+Sqi4kxnI5uJIz8zCc6sgg5ZxRJiiShCGkM6q4jF4ojF2OEBmluaYFmmWE/rkYi46pmGDdcIDCr88/94Pbs7/17ez1gcsuikhoE0KqF5LgAZdStaFpJTk5MYHhqaL0Y5w8vC9/6HHpJ7GTsMcn+kRkLX8dCjjwpAIFDg+3bt2SOF+aH33wepQ3U6DkFCvYvw9htvyO9Y+HK9/DzXvRCAcEadM/WvzwEQfh9/xq7I+OiodDvqs/vssLCTYlSrQqmqA5ZPGjBuM4/98889d01uX/xuTsCwg9vc2opnn35aiiS6i5EGxi7B0JUr0uXhwvOMgI/PkwP798tEEIEZ74Gv/vznApAW0p04Njt375bxJBAIbNI9AQybtmxBZ3e3PEtIhSN96q033hCjgPpCALL91lsDAHLqlHRjSC9jp2QhGOD62GVh14Mg59LFi2JQwIWgZiEQY8dGAMj+/QJAOAbcV/6MIInghuPP/eD387hz/Qs7Jjd0wn6OHyLAIL1pQ3ITvj/6vUUdEOo2dmX3oCvajRennhcBORfa9t6Zuwc/Gv+BiMnrQOLqzawDGAILApx3Z9/GB4X3UHEXdxwJNAzPQIPeiB2Z24Texa49gdyIMSRi9zFjRN7zSd91LUO0XAHIUhCgc3xXAMi1nGUr7/nEEbhWACIi9P8l0IB8EgCZk8HOf1dAwYIU4ZZr49TAQNAB8X1k5ihCmVgUZ0+dkhv1/rf3i+ajtbkZu3fuRFMui3hYR4yUJseGY9TgGCY8m10EJ9BRML/CtjFbrgoVq1ipoVIzBYAMDg9hdU8PNm6/BS1tq+TBH6eGQw+LEJ0vFhMaw9SopSiWMDY6Jl2Hqckp5GdnkZ+ZRSaTBcP4crm5WQcmwIcUmZ2bmZlGLpdGe3sb+tf1IUGLYU2TmWLuf0hjtyWwLaZGRnJHKNb3IODjwsBFSZ2fnJ6WB+Ltd96JTC4nYzQ8OoLJ8TGUCnnEdca9eXBMGxcuXMbEZJB3YpAe4wGG72Pzjh2yr6RvkWYVDavo7epAfzsBSEYACDtKcyZlAQmLblhzDmh0AHvphReXvQZkOdvvXgsAoQi9XEqgpXUau3afwPpNF1GYTcHzQqA+5MrlVdj/9i0YHmqBZbFrd+3LEe9ucYCjrTS7m9VqTc5XzjRTb8ACIKTHBZiXS6QauYjFE1IUshNZY2K6piLk+6gYDkJaAqoeQa2aR0taR29Xq9hruw4fXhVEwiE05hKIR8NIRhOIhKOolSuIJZiTE+R82NSXhFwRt7e1r5L1VwwDQ6NTokFhV0TzaB6RR6/7zrXv7IJ38vrfsGkT9t5xh8y414tGFot81SkkAtZtWyg0nB0nOKgDDQqwH3rsMemAcOa7/nMW4fz59NQUCCo4O8+uxf633xYNBCcj5gttRRF9w45du0TLwPezc0IwwCKZFCMBWnOdF1KPWOy+/sor8nvOvhNIre3tlc4Ff1Z/L7fv3gcfFKoSt/2zOiBf+frX5bvfeeuta9Ir1Klfm2+5Bf3r1uGpv/97rGpvx4MPPyxg7a3XX5dOx0JQQRBCXQhpWFzaOzqkSH/lpZfmAQZ/zmPAdd15993yrOD7F2o3CBB4f2c3hTqP9Zs24c3XXhM6XP37eBxIlyK4PH3ypICddevXB2BmAVDh/Zvdmc1bt0rHiaDprnvvle2jQcFCUEpKG8efmhceX36WtCuOwS9eflnGeuH3s5PF7hAByMKuyw2dtJ/Th2iZe3fjfeiL9+MfR/9uEQDZkNyI+xsfEtcq5oPUNRmd0S7pmjw38SwmrUnRbFy9BJa9jSJcb4+uFgvdd2ffge3bHxG5E4DQKasj2om9udvlb643psSQ1tI4XjqK94oHMWVNwZtzzrqR4ViOAITXAjWeS2FZASBL4Sgs4234OBcs5lGMjIws2qtvUYT+WQBkPmfiQxte2uG6IcB0bJy+QABSlMI8nUoilYwjHY9hYnRUROi/eOU1lAoFpBNx7Lx1J9pampBJxBAlQPAceJYJp2bAJQBhF4RdBMsWSka5ZqJUqWG2WEKZ9p2FIs4NDiLR2ICu/j5svmWr5Hkw5C+dSCIeiyKq61CVEHRNRywaE1EkC4dzZ85KMcOH9+TktIAUgoNUMi2fZwGUiCWlKGE+B4Xn7W2rsGvXbWhoaRJ6Ss3gLK0ChULHOS0MixXqZCh4Z37KuTPncOTIURw8eFBmGjmDt2vvHslhKNeqqBoGKuUSHKOKTDyMciGPkSvDOH/+EgrFGrxQGGXbhauHEU1lcOdDD6JnwzqUjSpiER2N2TT613RiXUcLuhcAEGar1Bd2pzzPCSyIDQsvvvhRAEKeeW9v77Kw4WWBQ0Hocl8+VYTeNIt0uoJtt56RrsDgxTYMX2mFbWtY2zeEvv7LElL4+mtBJ+R6ljeutMlxpmEDfFe6g9IxVBQBBrThrSlxoTqKS1I4jFrVgOX4ULSwdCOZz2ObBjwlDMMLw1EDfUoEDBWtIJuKC7CIJ2KAT/ODMpLxCCKqjkQ4LuetrvnIZmPQmLJuKwgpDqIxTTRS7ETavoLhsQLKNVfuJS6CQnO9/fL17O6i97IYJQAhBfP0qVNS4BJ0iYCYEwi+L1oEPnRJI+JM+tXF9ONf/rLQa6iBqAMQdh4IIFiMElDcfd990hVlN4Mz9JycqGsoCDr4Wt3RIRoCzsDz9cjjj0vhevzIkcCCnHSouW4H3adId6JWgzPyFNPz/sWZfXPOzYvbQmH2Y1/6khTfpCB9ls7l67/5myJYP/LBB9dk6DAPQLZulQ7E97/3PaF8sTtBShW7DlfbFtc/Uwdy3O86pYwdhYWicHZvOJbsQlCnJ623OStgjjuBITtBEpa4ZYt0JThmdT0Jx5xdDXZ+2OXq6u6WTge7UAv1LTz/OfYEUYc/+EC6UPfcf7+AIL6X3SrZ3lBIxpvjz22i6J73cdLNeI5QN7MwCJUUtC//2q9Jd+zokSOLujM3fNJ+Dh8k/enehgeEVnU1APnaqt8Qwfnx0jHE1CgiShR6SEday6At2o6ByjmMW+O4UruEgeocCJ/LC2mLtEv3hPa77xfew6nyCdRcdjA+dJML7jY+GsNN8j23pndg2pqW4MFRcxh6KCxuW+y41NwaXpt+WQDSjS7LEYDw/sBw5KWwrACQpXAUlvE21G0lhULBTAk6rXxMDsjvfvOb+Pf/+7+Xh+PiDkiQPhjomufslYIn75wLVgBADAEgFwQg0HMqkYghxVecM55lXDh/Hi+/9LLQBlggb9mwCd2r29HSmAONb6l/CM11QagDIQChJa9hmLJO2/FRM2zMlkqYLVYwlS9gcHQEjqYi09KCXfv2oqu7C9lMFrpWTyPXBIRwPZVyBYc+eF8ezqRXMGeDY0JhOrUb4bAOVeUMsCdOQPyZOEl5roxHKpUUQWP/xg3oW9cvs3rUgdQsS0ASixg+gAhAjKqB2fwsXv/FGzh27DiGhobQ2dWNzjVr0NHdCZedEtuWlFfHtqB4DnKJGKYmxnH+7DkMXhxCpepAjSRQMBxEUll09vdh9933oLWrA8Njw5IX0pBJor+nCxu7VqFnVW6+AxIoWYLGtQjRmQNCSpth4amnnsLv/d7vLTqjl5MNL2cyaY283JdPAyDda0Zw34MHMTrShIP7t2B2Ni3dDy4MKWRn5O5734equfje3z5+XUPx8/NpuZbDKt2sfGTSKblWzWpNzinLtFFwFYjj9hwvXzp+lhPQLZWIAOxioQQHCmrQYHikZfkIuR5CgsDnuN6KKtcOnbOiuip6LN/yYNVqiGguEjEVmbiOdFiFFg4hEmYmhwLDdFEs2bAcHcWyLfcXRHyxgL234eB17e/CN7MzseeOOzBw9iwOseheULx/2krr3RHSj578yldEM8AuCO+tdXesBxcAkCe/+lVMjo8LUK6H+Ym2TsYi6DDzxfsPQQTX99Vf/3WZ4SftqN6V4fpFX6breOG55wTgUOjNiQx+jkCqXtjzfSzMH33ySQED7Dp/lgiaAITFNwvpa3GU475yu7kN1HM889RTQr+ipuO1l19e5IpVH09+httWpzXxvQQaBA/UxtR/3r1mjQATAifeo+dtkufcvr7yta9Jt4bfQworqXR1Gh0BhTyS5rR4Z06eFGBBkCHUsEOHFo0F388uEseRY0XzgEefeEKE7lxnHSzK8WWmk67j5RdflC4Pu2ik0LHDwe5WnW5W18cQgBDc8ve1TxH13/BJ/Ev4YEpL44HGhyTwjzkgC12wvtr6dRCglJySiMZNzxJbXYKFralbMFS7gpJbEkert/JvBAAxpIHuWg81PYK4msAr0y+JcJ30qasXdkkkRyi9A/tyt88BlZPzQvN6+GFXrBsPNj0iQOf5yZ/e8F4vRwDCCUHSDJfCsgJAlsJRWMbb8HEdkI8DIF//9SAJfSEAEVcS3oTn0kvrAKT+4GUBbvuQoDwCkLMXLiJfLEkuSDQWQTIeRSYZE2en4ctX8Oorr0oImFmtYm1nF/p6utHV1oYwLTYJQFwHnmnAtUzpgpB/TorITH4Wnq8IHYtakOmZAsan8xiZnkLRMuFHIti4dYuIPvt6e8Vdiy9doeeHj2I+jwsXLshDeWRkCJ7DxPUgVJG85Hq5TkcrhgY6TC+niHvuuOtaIGLnQ2Z1Vyd61/Vj6y23IEP7y0hE3HroHsRCgd2NyfFJXBi4gP37D8j30u2qr2+dPPAaW5rgMzGd2SQe80MCF7BEWMHM5AQGLwzi0uAoihULUCIomh6yrW24Zc8e9G7ahHRzEwrVomSnxCMa1q3txqY1behtC0Toug/o4spV98EiAAmAJ4vL73znOx9JQl9OAGS52+/WbyWfBkBu230Cd93zAZ595l4MXmiXEMKFSzhio6trDI89+Qb+4v/47eu6Oz1/oUnODXb9jGpFrJ91VUVDJiPZHbVqRfRczPphl4TFGmlYPGfZ/TAMXheqaEFIyUIsAYeJgYjAqNowTReGbcOGA8dnVyGwhdZ1XpMR+OykuD60kIOw7iIRsZCMmGjMZcStjqAnGo5hepoTGWEBNpYLyf/hbP8/3Tp6Xfu78M10SGLxe+r4cek6XEvRvWjcw2HRapBaw+5GPaxvvgMyNoa333wTX/sn/0Rm4es0L87y0xaX38dXPWmcRTYpb6SEEbSwG0VgRABC1y6CFrowkba0/623RKvwpV/7NdEikKrFz9c7DpwAoSidhfl7776LUydPfqau48tf+5rsw6svvfSZlr0B+FVkewgUeGB//sILQl1ikc91sHj/SMGpKEKtotUtF4IkCr5JEVsYeEiKFQEAC31Sx+qdEZ5/dB+794EHBOBQO0KwQh0JheE8Jwjq+NxiB4R2xnwfuzq837KDQbBYB2MCouaOI12GOI58Jj34yCOi2aFWhceB1DECThaC7NoQqJCWx04MjyupWkat9uH467p0hSjQp/5m4Xfe8An7OX0wo2WkuKcD1d+PEICMz1OkqAEJ8qwCF8X6U5BZHo82P45nxp7GuDUqgYJMKCdgIPhg4CA/++zEDzFpTrAX+vHhhlAkg+TJlq8ITevvRv4WVbf6EZpVVIlhfXIDdmV24z9e+asbHonlCEBoxMBzeSksKwBkKRyFZbwNCzsgwYy/LdSj83Mc5vquEYD85V/9pTz46h2QTwIgfDhwZoiVBQEIZyhrto1zFwcxUyyKO5WuawJAOEvPsEHOCL7z1js4deI4picm0NLQgA19fVjX04MoZ66YBcKuB6lXBCB8uFIMTgAyw7RmRYLSypUKxiXQLI/JYgET5SIKloVccyO2bduGfXv2itA9wlkxz0WlVMTlixflQVMqFgQMcSZVEtJZ7Mxlg7BAFycrZojMJZrLzVcoKuS0u6hUK1J45RqbsGXbLdi4eQu6enqEF0xwREqVUbNkRvO9g+9jcPCSbDsdwnp7+6QL0tjSDJXfKRknnHUOIayFEHJNlPJ5TI5P4NKlcczkq6jZPqquglVrenHngw8hlssgmkkhkUuLbgSugfW9a7B5TRv62hoDAMLisp4FMgdC2P2wbWsegPzBH/zBojOafFM6gfG4cwxYaNRtjJfSqc/jxTT5m2H5NABy+52HcevO03j2h/eK3uPqRdNctLVP4qtff+W6AciPTyahaSqSiaRorULwUC0x1dpBJkNqlAZF5dXmwaiVoWmBZoHp5jbPR4PTC6oEkHqagqptwVMIUqi3SqAKtpw9AAAgAElEQVRmAY4aRtUlVcsUcO44tFhlx4UidAV6SIWiEHybiEYchBVTnLBoI81OSSaVhmXWAh0YaY2SbhM8kB/tu/HjT0E0i2fOiB8/duyag/TqHRAWrrt275YCtm5by/srO5+kYLHwZWFKAEJqEylJBBfSiVwYcjgXcEjgwgkQ0qlYAPM+8tLPfrbIBpYuWKSNURPB9f3Gb/2WFO9X2/USBFB/UJ/xJwXp02x1OZakHVEL8Sq7F+PjizI1Pg5IcIKFXSSOI7eHAnh2QAgqCAxIEVu4EEhRr0EK00vPPy+/4vbdec89EnjIY1DvdHD8qEN649VXF2kwSHmiZoQuWOwo8fd01iLQevFnP1uks6i7YBE4sANBx7GuNWsEkNXBUd0qlx0rnlv8HW1zuU3Ue/zkmWfmu0r17SVoZZeE+8vxJ42XHaiFdDPuJ0ESi0d2cUjlWiiQX0r3LDpUMWmcuot/HP0eRszhebBQp0hdvb1r4314vOVJ/GD0H8VWtw5MmPVxW2Y3dmZ24acTP8Hl2qC4VtXBy9UJ6/X1f6X1a6AW5enxp1BzP2r/zMT2QPh+N/76yl/e8PAtRwDS1ta2KCD1hnf+l/DBFQDySxjEX+VVXA1A6p7l586dWzQsd999N77/g6dkxofgoS7MDDog9SWY0SQw4EMZTBZnHggpWAQgly5jqlCEKaJLD4lYBE25tNjtUgB+6sRJfPD+e7g0cAExzhitXYsNvb3IcPaKq3OdoAtimRJI6Lt0kjJQLJZhuR4M05ak9cmpWUxM5zFRmMWsZaLqe4inU2KNuK6vTxLCqZGoVco4R5vbgQGMDF2RbghnewNRetD9SCdTwSykbQfOX8LX/tBZiHvvUofBrgggIEM0Lrks1m/YKFxkUgL0SFT48wPnB3D82HEcPXJM8jwoVi+Wy+hZ24s1a3vR2dUpAIf5BtTNUEzOjoUGR9ywBi8OYnh4BqUK55A1uFoMnf0bcM8jj0FPJ6HFowgnomJf6jkmNvR2Y1P3KvSSgsXux3ypFhyzOgWLlDPeTP7dv/t38lq48IZHET7Bx1IGIJzFZLF2MyyfBkDWbRjEgw+/i+eevftjNR7Uf2zYeBH77jyCv/oPi1PtP2tsXj8XEZOGaDQCx7IEcLALx/sCwTCve9pop1IxMHOTXRLa7zIczPdJpWE/VIMWjQGaAvY62Ey0rRCqZR+GG0EtpKFG5je9GNgNIbXSp8WvD9WPyPWmqaRr0ciBHTpqtQDNYwiii7DiIhpmcyWERFyXaxlzs/13dN/Y8ef9SjoEe/aIoJgFdJ2+9EljVi8weU3U3Zg4y01tASc06hoG/v7hxx+XApwakCe+/GXpdPB7SBe8WhfB+wzpVtRPcFKIzlkEGSyAX/jpT4XWU/8M6Rj77roLo8PDIs7+zd/5HSncSTOqd6L5/bSuZWeA1wi7LyyQP64jsXBfaeXL4p6FMgtm5mVcva18P8eOM7Lcb4rn2QGiHS73l1Qmjis/zw5BnVLFz9SzV7gOAhQu7Dqw28F7EbsN7CJwIQWK3QyOX/248FxkF4NOVhxrFvkcU06UEEhSF0NheH2buY08PhxHgkwCPG4ft7XuYMXx3Llnj4Bqfo7UYIIVitd7+/vx4x/+ULZjobBfHK/oUHbgAP7pN76Bs2fOzNsl1zUuBGWkZvF9BJ3skNVzQz7rmvz/+/d1AMIOyPdH/0EscK8GCh8FIL14pPlxASAUp9cBCLsY7H5MmON4feY16W406c3yfKW2o+yWPnJO8bP3Nt4vTltPjf2DdECuXthNYRr66mgnvjfytzc8RMsNgEjgZ3PzDe/vL/uDKwDklz2iv2LrqwOQuhOSiJFNE8eOHVs0Ejzpjx4/Jg+IQA8ROMPQKedDABISAEJ/fBFWkttLkTMpWLaDgStXMDlbQMW0ZMY9FtHQlAsC86jpGB0ewTtvv4WTR4/Bs2z0dnVhQ18vWrJZccIiAFEZ4meZwhOnHS/tcyn4rhkWKtUaCuUyZvJFCSIcm5kRCpYRAuKppKTSNjY0oGN1u1CwysWC0K7GR0ckz4CdGI2VjkebXkixnU4mpbigJiPIdid/KSS/k0wQx4VrU9USgqqFUTUNGLYlQYQUONKNZtPWrVJQcAbv7JmzOHvmHAbODSAcjgSC80oVa/r6BICs7qZ2RJEAx8A5ywUtg7SQK2J9UreGhqdQLFsiQo81tKB73SbcduddiGQzUONRKBFtrgNiYUPvGmzqasHa1kwAQOZAiBwzOTa+zCQTgHBGlFbLP/7xjxcd+56eHgn34s1voSuQgMwltDCB+bNmdZfQ5n7qpnwaAGloKODRJ9/ExYEOHDm0XrI+qAGpJ6HnGgq4/8EDkpT+8kt7rmuXDwyExF6Xegx2NQhGeK1Si0TKFa2iXY0hmzRSCKhTpKSwA0hA7fuBFXfNYxYIzy5Pun8hPwyEYvCUGGwlAltRUaOpBDuaMuNPkE+HKU+sfpUQ+fWQEERfiQuIYTcm5FvQQzSfJg2M9xlI/yMdi8q5+eTmj9J8rmUA2F1gRsStt92G1199VXRgpOdwwoWFMmfa60nZ/B31CSywCSRk9n1iQorm7p4eKbjprMT3CHAjAHnsMeH8U6PA+wHtYNmFYFHOdSwEC7TRpQMT7xkUsxNY0H6WVB92ChZSe7hdpPWwsKVugjPwIrI+flzex+4LuxgMOmSgHgvrxuZmEU3Xs0c+aXxI8WImCUEIaWFcJzshdRE8x4P3QXGd2rhRtB78HbsG9X3nfePhJ56QfWfRTY0fQQgpTBwnyet45x3ZNi7sTrDY572aNrp1py5S25ikznUT4LDTzGcStSYcex4Lak84pvwuAkm6jE2Mjc13jHj/ou6D40FQwe1gh4b0Kb6Px2nzli0SVshtpY6vTqciyKG+46fPPivC8joA4bnBY8N1ERyxu8UxqGs86rQv6gMvXrggQI2UMYIVArqluNBl6oGmh6XD8IOx74sA/LOcpihYp7Xus+M/RN7+sNPFzsftuTsl54PaESacR5Qgv4IuV9PWFIaMKyi7ZaFozdjT8l46cN3X+ABenX5Zfl/Xi9Rdt9oj7Xi85Ut4r3AA7xduXPe13AAIzzeaSSyVZQWALJUjsYy3o043qgvROdt/fIHFZH3XTp05LVQc3kT58BEaDguDBe5XoimpAxCVRA2I5oNdj4GhYUzmCyjVajITF9YUNOTSaMykRcjHh9zrr70auIfMFkX/sX5tDzpWrZK8ENX3oDIRnWFotarMBLLw4XaXmANSKmO2WMRsqYLp2QJG+GCqlmH4HjKNjdB15g74iEUj0j0htSQ/My3FVSIWl59RkB7k9LGLAwkvpN1vfdarTrsir5j7yqwElTO+ig49EobPzBKF9sMMVFOEe9zWsVoKgEQqiZmpacxMBC+hn7ieiM4ZIEjL4FxrqwAQcQmKxWGZBsxaGUrIQ356ClcuD+HChWHMFCqwfQ0dfevR2bcBHf3rkGppEQpWSFdRq5TEtndj7xps6GzG2pZUIEKnroXhiNxJYi1a+zqkX1mSaH3PPffg1KlTi87mDRs2CPAMKGgf2pIuNQBC+lWdG76ML0fZ9E8DIJGIhY2bLuK2PSdw5tQanD61BralCzxOparYueskaNX742fuxWw+Jevbcss5rN9wCceO9OPsme5PHJ7TYxFxhfOoxSBIqBmB2HzOu5mFnyPOaQSuBAo0snIQI/D1Q4GlM/VZ5CiHFDmv2BkhvYqaj0LFhOEGjllqNA5F1YUKyWtZHLfEbYoA3IdDAOMDNcMQQbumawgrQFRzoRKIMG9HIVCy4Rk1yfZ5dFuQMXG9C4ttdgk4I06XImoZ5BrniubcloJ/Brk5FIMTZFD4ze4EBccszknpYSFM0MDQPW4br5lHnnhCNokFLNfN91DTQO0H38cuA8ECZ+f5c15b7MLwRVDN7WLxTC0FaaY8Jlz4GeaAcNzf/MUvpANB9yaul2BR3MuYOH7unBTqXP/GTZukQP6sAlgE4szmmAv/I3ghgKBpBoEB723Un7DzweKdY8J7N7sOQo1jJ0vTsI62tFu3ysw/wRt/x3VlGxowPTkpupi6IJsggZ0XyfF4/fX5LgG7yKRq8ZyTSYY58RD1GZK5EgqJ7oNdBX4/gaQ4WA0NfUQv0tffL8eH6xFwVa2KfoYAjx0VUq4IFgiqeN9++YUXhFbGY8AO1EINCgETO1UsDNnF4XvY9a67pfGc5r9JyyIoI7CiRS+BJ79zqS28hlIqAchDWJ/YIFkfF6oDqLoVAQyftKyJ9Yhd7s8mnkPB+TCIkKL1dYn18llN0YLrh08d3xX3LF3RxbSCExXsspwsnxArX4rVb8/dgXWJDdg/+7aAICahczxbwq3ipmW4Bp6bfFbcsG50WW4AZCkJ0DnmKwDkRs+8lc/Nj8DVAIQPiDNnznxkNvnZHz+Lu++5J0hDV4MwwqADEiAQmRWqq0rnptjdUEgoWLbrYSw/i5HJKYyMs0XL4p4dhrhoMhhK5rse3j/4Lg4dfA+XL1xELpnAmo7V2Njbj3QsJkJ0Mr3JTadQXcL8DBNV0kBsGzXTQqlaxcgYg/omkC8UUaNlL4BEKiXfGcw2khLCgpuBapY8zEm3kgIopECVv0NQ6XCyEGxJ4eXJ94pzFHNITBshjwUWhbcaQroCT6Ew1pJOUYRp7mEVYSaTRyOIRaKwmWI+MYOwFobr+qjUDLSuWYP2vl50blgPL6SyJgNNSF3LhuOYoOnWxOQ4Lly8iMtXxjA1U0TZtLFpx665120oUwRM0XokLMnS7BZt6O3BLT2rsK49h/Ac+KBkmUWUHDxu6xwAqVVq6OnuWWTdyeNK7UzdmWceeM6N0VK5jHgcKUC/WZZPAyC0tNV1B3v2HcOuPcdFhD49lZG/2R0ZGmrFwXe3YHy8Aa4TCNS333oGt+48hTffuBXnPgWADExFxamNmTCSwWHTbpRuTpBrlAChYvCcdOX6TcRi4mxlGaZ00jiRwAwRVVegaaFAaO2FULUshJQAvKiRCGZLZRRmaakdEk0HC7iZfB6aGhGgooQjAmAUuNA8G+FYMuhCOiaSUQWeWRE7bCgM/fSQUNm1DKF/9Y0BkHp4HWenFwrCWRhzYoRUScnrmMuk4E2Es+6kMbE4JmggCGHhzCKBs++kRbFg5jVDChGL8R89/bTcW6gTYXI3Z9nZQQgMKlwJCaTFLItqAdRzQYhcP0HL4UOHBOjMi7BJVV2/XroPFH3TLpwFPCmTHHs6YbEIZ5Et2zKXJs59ula3OHHySibnt5c6DRbefE5wPSz66QBFXQvvqaIBpAvinAsYtRcEKewiUF/H3/H+Q3oTdRPs2NT3h88UFv3s6jB/hKCJC88PdmPYMeF62b25NDgo+R3UiXCMCez4bOK9feOWLXJ8CODqtC+um10tgiE6aXGcOU7seHD8ef5wnWKEYpoS6MgXwQr/JtWK4nU6gy0UwbMD1rtuHZ7/yU+kY8YuGM8jbhe3nzki7Jrw/OF2cvw4ybcUKVjUVlD78Vjzk2iNtEr2BqlSBwv7ca5y9hNvr3TM2pPdhxcmf4qCU5h/33/V8U0ktRROlI5h2BjCtD0tjlYEG1k9B7pZtYRbxF6XIOdU5aQ4aLHTwSwQdmLYDal5NemskOqZUlM4Xz0rSegVpyyTaDe6LDcAwq4fn8VLZVkBIEvlSCzj7ag7YS204r106VLgtb5g+Yv/8y/wO9/4BqKRD614P6Rg+fOzcjKLWZ8tFAASkpTk6VIZI+NTuDIyKgF9kbCOON2wEnHpSpACdfLYMbnJnzh6BJwbaWtqwvZNm9GYSgX6Ba7btqUDwhs6H3iFYlEAgeU6KNcMDF65jKGRYaFk8UHH7QkemK5oNGyL+SGBn7+IyKXjEEI4EkUkEkUsHJW8Dz7MmJwei8eEfkK6B2c0+blqpSp/24YNsxqkMZNq4qs+3JAHyzWFnsKX6zGcLYRILIymXANCpovyVB4xncVeCFXDRKp1FVr7etG3cwdcFmqWj4gTgm87ktOhRkIYnxzHwIULGB4Zx9RMAYWqgZ71m7B5527suedeFG0bVceR7JFqqSTWxX0dHdjWuxqbu5vpVCpjyJKUHRpRgCieABA+cC9duIwd25k4++HCMdi0adNHMkBED7OEFhaCn8VpX0Kb+5mb8mkAhB8mIIgnamhvn0Tb6gnpfJTLcQEiY6PN0vlgCjopUdezHDxTndNvqVK48WHH4i+eisM0aqhw9jkUFRtqakIoTtdZbHq2FFzJeAKRSFiuDY8KMF+VnBxuMMWnalgTa+pwNCLgSFPCUlBWGGroccZcF0DuKzqYIRRWQ0I/JG1T531H9RFiErpjyBiwA+IrdOQKOkDbO+rt2OvZ6/+y97Kg3LZjh9hwc1+YJ0QdxkKqFEXMvJbqYuv/sm+8+T5dN7bgnhGosdg/d/Ysxq7Ko7r59nxp7ZEW0rE6ulpE4yq1Wm4FI+aI2OaSHrVwYbck8JGEhAMShJytnIHpGaLjYleDdrq8A3EdDCe0PVuCB+v+WSrXEFLBhHQtpIpzVj0VPejGpNAR60JbpE0yR2btvKSvjxgjYgNMIPOrkoTOGoUJ6EuJebACQJbW9bsst2YhAKk7YXH27eowwv/2X/5L/Mmf/gli0Q+dsDj3/2Hs4Nzuh8gFD5ohDluuCosPHxMzs5iYyWNyZlYce0mp4KxqIh5DLBJBNKyLB//xo0dw6OBBuIaJhlQKt2zYgFUNjUixm+CzKLfh0KLSDQBIsViAzdlD20KlVsPg0GVJEWexJJ7tapDjIU5UVUNyPDibalgSsSydC00PI5XOSMhZY0OTzErmslk0NjYKXYCcZc60cna0XC4J55pJ0HThmhyeEGvdqZlp8UVnoeX6DjzXlDC3eDyCeCKKeDKGRCQGz7BQzReg+uy60FVIh5pMoaG7C+t274ajqLBsH2FPhW9xPTb0qIKpmSlcunwZY2MTyM+WUTYsSUHv7O3DfY89gVxbG7REXDpBLAYZgdiayWJ7XyduWdsOMm/ZQZIgQjloQsCCYRky4/2TZ3+Kf/bP/vmic3i5hBDeLPa79cH/LADyed1oBqaTsEy6otkySWBZtrhiKRoF5oFOSI2mRO/BC9yxTEk214hHPRfZTAqOZaNQMkUDEo8lYc05VXGektomIgfqP3jNkqYYj1L4roEsL1pOE8CQmshrTI1EYZHaFdLkHqLxBTpjedKpoXidFtchlbPxVTy6Nfl5Dc0nrpfFc3Nrq1CVSEMiLYsPZnYjOEakm1LPwYX0oJVlZQRWRmBpjMBy6oAsNQE6j+AKAFka5/Gy3oqPs+KlmxAzKhYuDz70EL77d99FIk4hepAO/BEAEggo5GMUjtIFS5LQXQ9Do2OYKZYlH4DWs+xMRKNhASHsgBCIjA0PizB8/5tvojg1hYiiYjOdq9rbsaqhASHywqn9IHjwXAEEnPnmLD6LmnK1gstDQxgeGw3EgnMzaqQ8UARuGJYEIXK2Vbojqg5NjwiXurllFZpbWoUCQBvSWDwhbf3Acz8apCHPcdxZVBg1Q9LDZ6dnMD01ifGJcUzPTqNUKcK2DThmDXBtsRBVWfWzuAqHESK/3bDgmC4UsBMUBfQoMqva0HfrDoRiMTjiKqQKn54aDV2DuHbNTE9h4MwFTE/lYVoODMdHLJNFR2+fZIG0r1kDg52gchmeY4mAf/eWPuze1CvgQ/cgWpA5/ysBIJZNIb+BP/7jf4s///a3Fx1zzup2dHQsEqAvNQvem8l+94sGIEeHYgJGRVAulEM3oB26NuLxmGTThMIJzOQLMmnADkg0HBGQnE7Exd66UCygbHhQwjHpt9VMap1IydFE26EqqlyX05UyPFURrVIyoiCm+4gqzADxkYiFYbK7Wa3BJk9cDSOaSEpXjx2RTCwCVdMxNTMLNeQhl3CFRrmlc3EmyrK+Ma9s/MoIrIzA5zoCywmAkN7HCcGltKwAkKV0NJbptlyrExY7AafPnkEykRIAIpasCzsg4orE7kfgCkWLWgIQCSK0bZy/eAmFShW+qknGhehAomGEdQ2xWBTpVBKlwqzY8L75yisYuXQJdrWGdd3dkgeytqMTsGz4fDk2qyNxr2KxbdiGFNHlahlXRoZFB1Isl+YBiBYOi3CWRTtY3EtSe0gyN0jtiMbiaO/oxKq2djQ2NUPTwgE1i90R2s/qWqCD4P+Z2Mw1M+uADlm1KoqFPEZHRzA0egWT0xMwjSo8w0DIthDRVdiOBcM0oIW5Ll26LkaFVBIgqpLeFUaqoRk9mzYjQpeLaBQ1CXcLNCAsumDbMMtlnDh8ApNjk7BNB4QwBCuuqmHXXXehd/MmseKtmQZ830VzQw77tq3Hnq3rxAFLcwGVByQw4BV6GG1Q2S168qtfwbvvHlh0Fi8HByzOytMB62ZavqgOyKvHacJAW9XAqYYAhJd1WGdidQg1owZPj8n1y4KfgnVqpUKeh2Q8Lt1B3k8Mev3zOgmFUasydkyHrsVhGKZ0VbhUGSToK1B9B3HFRUs2Ds2rwbcqiGoKkrGIdF4M20OpEtwvfAJ6DWhMJ0SMXTNtoV9l40FHta9j6fCjb6bzcWVfVkbgZhyB5QRA6H7FydCltKwAkKV0NJbxtnycEP306dPzCbH1XXv+heexZ88+cYgRVyQW6fLLIJQvoHPZImCl6JRKA76oczh68hRKNQPheBKlSlnC9kSkrdPxKYJsJiPWuuPDI3j95Zdx/uRJ5Ccn0NW6Clv6+7G5f50AEFBrQYoI8znMQITO4p5FEQEI6VcEIPlCQahGdMvRImG4HkXoLsgeIUeVjQDOrAoICUewanUHVrWtRmNzqzhUVWs1SVoPws5YlOmIRWOIJ+JIJFKIx2LSuSH9pFYtYXj4Cq4MXxKxuMUQQduBTjcs30PNqEh3RglriCYTiKfTqJYNOFUHiukjqkWRSTegrbMHmVWroOcyKKoKar4D27URDjlQHAd2uYrTR09gcmQCZsWU7afQ33A9pFqa0NLZgZ7165BuyCKdTaOxIYttG3qwtb9bgtzYAalnqBIoOq4l3P7pmWms37zlIwL0rVu3BqYDCzJAxH55CVnwsltXTzJexpfgok3/wgDIGQ/kgfM6pkUuO3ZkedMWl90OCtIVPRzQqnw6ZSmoVmrQFEVCOilEJ1A3fFuMJ6CE4fgasTOqNVISgWQqgShd79wo8mULimciDBdx1UNjNo6QYwIuRfA+1JAfiHfDUbkWwxoQ15mN4yGXyyKkhVExDHHAo8B3R3/0ZjkFVvZjZQRWRuBzHoHlBEAYCMx73FJaVgDIUjoay3hbCEDEIs9lMnGQMHz58uWPOAv999/6Fv7wD/9ILBiFhkUNxVznIwAgAV2DFp4hRRMHLAIQisPfff8DFCs1JNJZKRoYaKZFmK6tSPYAAQjzOYozM9j/xhs4fugQhgcvojGZwubePmzbuBERfh9D/1jRkA5FMXm1KgCk3gEZHR/D6Pg4pqanxRKXrlBqWJcOCAFIzeKsvyN8dFVn90EXx52G5ha0tq9GZ1eP0MeCfBG6+wR2oOKMpWlSkCdTaaSYLZJKSOBffmYSAwNnMTU1gXK5IB0a3fGguR5Un50GV2wEHQVQ4zGEU0lYhg2vYiNUdpDWEmiIZ9HSsArp1laEmxpQScVQ03zYIReqZ0N1Hbg1E5fODmBiaBSF6Vmoqg4/pIIQyaLYPp3Equ4ONLevQltHO3r712L75n5s7OsWWg3TSyLiwRvMbjPjoVar4OkfPI1/8S/+m0VnMI8xLXjr4KPugLWUBOg8Z8cXuAIt40twSQCQnxwuyURCKp6SbB5FQH4NkYiGqGi2SLtyoc1pqtjN4GQDKY0E+tRhsHtoOXRY02DSapoZJao+Z81qQ9fpNOfBV2Kw7JDYTGeTMUTDKjLJqHQUeV5SoyTOWZYDl+c4AZGuIBkOwXeqSGfSKFUNGI6HSsUQy9j7t+VullNgZT9WRmBlBD7nEVguAITPXgKQpbasAJCldkSW6fbUhegLAwnpgjU4OLhoj/bs2YNnf/yTOV1ERDognwpA5jQg5VoNr735tmR0pLINkvRNcELVqarRxSaKbDotNA6zWsHR997DoYMHcO7kSUR9YF33GmzftBHZaBxh0rsIQFwPjskZ/KrM3DOzoFKrYHxyEmPjYxibnBAAokXDUHSmFUMoWOVqTWw1KYIl/YpWngxAS2TSaGppRU/vOhG2UqzuSEZaEJpB5yiCGIKVeDwhACSXScCsFTExPowzp0+gys4OwQetUlmUMfOABRvzM8IaCLtcbgszBhwXSs2DXnLRqCbRFE6jOd6AeK4BWlMD7NYsjIQOi20LWvFSdWvbGB0cwviVYUyOjEIX+lYAQKqkaxFwJWPINjeic2039t6xD7t3bcOm9b1i+StCXzXIaxBQ5NioVSv4n/6H/xH/6Tv/z6JjTVFtV1fXRwDIUup+8Lhf7da2TC/BJQFA3h904No2Eom06KuCU46mCr4YNVBHxa4Ix53Angu7IQSpQYZH0F20TF9c5cSqWlyv4iJs57WhElDDFgG6YdFBriY5PBSfMxCT38fzk7otTWegqQ/XV5FMJAB2S0IOVLpvRcKYKZaQTKcRsgOq2KYu6k5WlpURWBmBlRH47BFYLgBkKeo/OLorAOSzz7GVd1zDCFwtRP+kRHTO/p8+c1aSsYM8kHog4SdQsKiTCAElo4YXX34VU/kikpks9CiF1yxDWNhoQsVKxeNIJxISbHbp/DkcOnAAxz84BLNQQGdLi1CwOpqakdTDAQCxmYpO+09DOiB0xKrWqtL5IAgZnhiFS8pIRBdHHxHFux5K5SpqBCCOg3gyI10Qdkb0aESErql0VsIASdUi2KA1KDsNLKwYjsaOCIsxCugT8Qg02KiW8xi6fBGWTZqJJ9akMVVDhEkGJi1Dg1AvT1dQC/ko+exqqIi7KrKWjj4Jze0AACAASURBVEY/hmYlhfZoDooehZdOAt2tcHJx2HEFNZu5B3QbUjB66TJGLg9hdGhYbE9Ja2EQYyQRF1FvoVZCxawh25jDV7/2VTz8yH3YvevWuTRp7pMPk9kfTlDo1SoVPHrP/Th9VQBhXf+xkH611AToN1P6+cLL9IuiYJ2+VJPzXdc00QYRnJuOj5pDBytgtlhFNJIUMMHLg++RzIcQYJg1ROMxuSd47I36DiJqYKWr6HoQSuh5iGhAMqwimtRQtWoSPEhrb8tyoGsRFIsVyRkyTRt6xIXtlOH7OlLJNKIqO4q04a5BYYdVUwS4lKZn5H60YU3jNdztVt6yMgIrI7AyAsByASCst0h7X2rLCgBZakdkGW/PtepA/vqv/yO+/uu/Lg98cXVicb1gvyluFssnFt/sdCghlGpV/ORnL2JkfBLRRAqZhgaosQhMzxE6B9cVC0eQSsSh8f3TUzjy3vs4fOAAJq8MoSGRQH9Xt7yy8QRCDEhjAW05sC1TkDgBiGFUMZOfxeT0tAAQiSEMB1QwTpGyoVGp1IRaZdk2UpkGccEScTq7FBSah6NCKaFjD0ELCx1SryhKpxbE9/zAuldVRGAeVly4dg3FwrR0FJjyqvhAgvvEQo50s7liX0/EYShAwbaguApSXhir/Dia3RhWIYlOPcdwAzjRCJzVTfBWpeHmoiiGanDDgKf6mBwdx9jwiAAQ8u25a47tSry5H/Lh+C7ys3nEEzH82le/gsceexj79u4GHdOZZQJFkaBEAhDaETN46549+5ad/oOgmXbREoB5ky1fFAB58WQJIS8IGWQuD+NeSFUU8aP8X0MkFEO5WBb3ORoqcHaOD0fTNsHQOXYxihXm9Jjw3SqSMRW2Z4mgPBxR0JRNIBEhLdOB7WkSiMeAOpc+C/xssSz3DvlOl1CGmSSBtTe1IfTQSsWi4npHN72qSfpVkB+xe/3qm+xMWNmdlRFYGYHPawSWCwBh/sdSoj7Xj8cKAPm8zsxfwfV+XCDh0NAQJubSaOtD8uSXvoTvfOdvpEAgJzyw460v7ISwUghC0Fi8cHaUAOSHzz6HwSvDULQwWjs7EEkmUHMsCQkk3UJXVSTiccRIvfAcnDh8GO+/sx8XT58W7UdncwtuWbcBTekMFNcBKxYG9bELwjwOAhDTZDBhCdP5PEYmRkXE7Woh2HTzUUn30mDUAm0HaViZXKMADmaCUDPLCp3voYCWuSEBHSQAL9IJofBe1SAhTBRjw0NE8VgiAb4jdsCOG3QWEkw+D4fFMrierpzIZOBoKkoEKqaHtBtBh5LGKjeO1X4Sa0LcNwWWqqKciwEdDfDbMygkXFR0B1XYkhzMY8L0YQYjcvwphmdByOTkXCaNcrGAaDiMhx96AI8+9DBu37uX5C+ENEVeBIZ02CobBv7y//oP+F//1f+86IxPJpPo7+9f0voPCs8pQL8Zly8KgLxwTIdt1aCSuug70BT6rHnQNVW0WiE6GYTKiEVUAe3xRCJIvmbnbTbI4yFQj0RzgUuW4iIR1WG7JgqVkuTphDUf0TAbmAqqNVd0Z+wqcvFcdhgZSEjXuTDCdKNjWCfPbccRvUkqkZCcnZBKlQgT2jVofpD0vbaj7WY8HVb2aWUEVkbgcxiB5QBAlmL+xwoA+RxOxl/1VX6cDoRZGnTDWriwW3H4yFG0t7cLAAnEyRIaIBkg5IIHgnTmbVBsGkKpUsE/Pv0Mzg4MCpWja20P4tmMZFZE4jEBIBS0x6NRpOIxpOMxnD52DO+9/TZOHTlC8QZWZbPYsXkLWrMNIu5mDkiQCWKjVqkDEAYFVpAvzmJ4Yhwl24AJB6bryGwt8z5Y7DAJnSAkl2sQy1HTsuHILGuw/ULXcjzpEJDDTsoJLbUIQFgY0YpXtNyei1wqgRi7LG4wI8tEduorKPLmeEQ0XfQenuPKvnq6DjMUglkyEDMVtPhxdClZdPkpdDoJxNUoPFXFGCyEOhqh9TSj1hzBrG4j71XlO6hxGRg4LxkeFAVz/EldY48moutwCa4SSdx9x+145NFHcMfddwUzyBJdT069B8PhTHUZjz/8CI4cPrzoGDP7g6I3cTpjZ6hOtVtC7lfUflCLcDMuXxQAOXQhL7kzMWbzhGmzy56fK1k9BCB0ubLgw2AyObtvIUWuB3HF8nwxpuD14vgxsdz1rZpcn6Q5ksZVq1lIJVIwK2Xp1rF9x3OLptAE9EHWTvBzOdWoo6Klr1uVbdKUJCx2JhVHuh68Rkmr1MMh+d7t/d034+mwsk8rI7AyAp/DCCwHALJU9R88HCsdkM/hpPxVXeXCPJCFblgfZ8f7p3/6b8FkdFrRSh6IEgoaH0LzmYvapiB1zoZ3tljEd//h+zhz7oJ0Gtq6ugSAOAwjnAMg/FQiFhUaVkM6hcsDF3Dsgw9waP9+VPJ5pPUItm/ajM7WVcjEYpIRIvQmggcRoxuo0JKXtpzlMoYnx1EwKqi6FpyQL2GC7NpQSEv3HnZASP1gIUUKk+O4UvVQjyIpy44jWhGOBWd5JR1aNCFzRTkrJN9Dcy6LOAW0thnQQtgBUegYbInORFdUSXBXmeJOYEa7Uk2HU7UQczS0KAm0+Ums9pJY4yWRUuPwFRXjVhV2YxxYnQN6GlBNhFAImTAcC6MTYzh34bxYEDuuDVVVoCukwnkCRDzLRkMqLQDk4ccew+133yVaERZ2pIhRUG/YJg4dOYx7775n0SnPInDz5s3z9rt1ALKU7Hd5POh+dTPSr3gwvigAcvnSlFzLiqahVC6J0xTF4rTNrtWqch2okRi96OT8EJG57SAcjYjGQzADj81sHulsEglNFTDsSgghdSXBvYFgw7Or4mrF9TDTI5mMwzQIKElxpN2kL3a9ldkRrOttxsTIGLwQJy10GKEaItEQKiUDYTUBTw9JJsnODX2/qrfvlf1eGYGVEbjOEVgOAGSp6j9WAMh1nmwrb//sEfg4Gtbo6Cj4WrjU3bBImeKsJwtg0pKCKtcP/mI5ooSEzjQ5M4v/9LffxbnzA0BIQ6qxEbF0BloijnA8GqxDCSEZjyGVTIgYvTg1jUvnzuGtV1/D+OUrDPHA5r516O9eg+7Vq1GYnEKtVIZXzwSxTBRmZ8W9qmrWMDIxjny1hIpjQWXiOnM7Ykx6Zhha0NUg+GAys4Qa2raAi8aGhoCiJM5aNXkPt48FmICUufwDbi/1KrlMbs4ZyECZjlyuA4U2pS6Tyi24po1ISEWUgt4aizFaUUWg+gpSagwtkQzShopWN4ZetQGpUBSKr6DgWChoHqppHcnNHfBbEjCjIRRrZYxOjmFw6BKm8zNC+4rGIogwkITAolIRYJZLpfDg/ffhoUcfxd4775TjQh0IQZBJ3Yxp4N/8yR/j23/+54uOLdNW165d+7HuV0vFAYuduQJzXm7S5QsDIOcvyKSBr+gSclkxLFi0u2amuaahVq2KAxXPM143FKvz+iBYIXClLTYfmINj4+jrXwsdFtqbc8jnZ5BnVkc4gtn8DJLJqGTfpOJJ5GdmEI1FYVmmhCBSu0RAQnphfnoGyQiwdUMTLg0MAkor9FQ7JiuTgGaDtm+xUAKWUxa65G277rhJz4iV3VoZgZUR+GWPwFIHIHzeUv+xVJ67V4//Sgfkl31G/oqvbyENq94FYRF+4sSJj4zMCy+8CAKRIJRQlYJEbHxZSIjrkwZFU2FYDsYnp/GDZ36Ek6fOoFCqwPKBSCqFpvY2JNJpxJiNoWtCwUrEY1I8s4ieGB7Gay+9hOELg7AqFQkl7O3sQv+aHlRmC7CqNaE3VUpF0YDQZSdw5DFxZWwERQIC3xWQwwDBDwGICduypIBiF8MyTFQrFZn9bW1plmKKgITaEqa0ExQRlBC4SOid5wkNi9qLRCIptC3+nODD8l3YXKdkf/giSKdXVsRXYRmWcOdNx4Wu6IgxgFBPIlLzkXPCWKPlkNMS8nNoOsyICiMaQjUZAnIxaLkEXA2YrRYxMjmO0YlRFCtFuOTpRwKePgESx4Pj+OCD9+ORxx/D7XfdJcfPk5wWT7pEMzMz2LVnFyYnJxcd2+7ubtCCdynTr6ampuRY3KzLFwVAzh3dL+dmJJHCTLECx1dQMS0oqi56D9L9stGQdNtIMaQDXaVaRktzE3SxunbhswMYaZSQUM2rIqyYos2KxKLQo2F5fyIWRrVsIRZNy72Ctta89srlsvybZg48/4yqiXSUyedVXD5/ESGtB16iHaVQBaZTQshUEFbSUMOqXI+rO1coWDfrNbGyXysj8MsegaUOQDjxyWfxUl1WAMhSPTLLdLs+iYZ17tw5KQ4WLg89/DD+7u++JzQsFh+S0kmrWsuSglwAiKLAdBzkZwt4/a39OHr8JAYuXsLFK0NQIlH0btyAdDaLWCIhrlL0+s9IwF8SId9DYXoG7/zidQycPo3psXE0ZzLoWd2JDb39sKtV2DUDtsHOR14ABfmSBE6lchlDoyMo2zU4ii/FTyIRDyhYjiOuVMwkCOuqFEyc2S2XSvKdTY2BxTCXcrkk+5fNpGUfTdNCqVSEbdpCIyFdKxpLkDSCCikqakgyOcpmDbakFyoIq7qAj7CrwK5Zwo3nzLKuRxBWI5Ll4ZcsRK0QWpUkMmoMKZ3dmpR0UkgvMRUHajKCSDaBUFRH1TMxUyliPD+BfKWIqmMgpIcQ0hUBfcVSAdF4FPc/9AAee+Jx3HHXXQIO5fjYNsxaDd/+9rfxr//Nv150THkMt2zZIrPaCwHIUqJf8fiSfnUzL18UABk8/LKA9ZrpAbTELVUQT6bknKUQnYB79apWcZ4bHx8VbQg1I4lkDLn0/8fed0DHdV3X7ukVvVeCBSBIgr13URJVqEpJtiUXWbb8bceOHcdJ3OLYTvyduCWxE8VxXL4dy7Zk9V6tLoqUxE6KYAPROwbA9D7z1z6DBw4GADEASXFAztWCAM68ct9599139j17n5MBjVaFtrZW5JXWwGQ0QRvywD3Qjd6+XmRk5YiInJnLamvm4FRLO7JzC4TixbTW0XAEXV3d8lzxORUtGTUgcCI/YxBtje2IqqsRzaxE2KqCNzCIqEcFhIySYIEApnbh4ot5WKSvLW2BtAXOoQVSHYCQIs6fVG1pAJKqd2Ya92ssMTqzLrW2to66qj379mFm1cyYSJVCZZU6Jh6l1mEoZS2ZWMyO09TSgQOH3sMbb+3CK6+/CV84gqWrViErJ0c45HQs6fzzxzqUjtfncuPI/gM4tG8/jh2pR6bJhKrSMsyvroGKtCmPD85BO9wul4CdwqIiOB12dPfEihF6wj5E1FEpWma1kN5ljYldJXVwVKIuXNX1e93wuGOZdiwmEzIyM0TMbbcPwqDXISszA8wMRfDCtKEelztWC0EFmCyZiKq0IrTXmCggV2HAaWfOKcmcZdYboY+qY4wRAhCvHx6pcWACNKRqReGyuxFxB6QuiBEamDUG5JhyYFRrYdJokGfJhMGgg1qnQlivRlAbhVcVFoDlZArgMMX2QQSZEpgREq8Lhgwztlx1Ba699lqs37BRIjjMHMasXAGXGxs3bEDDqYYR95T0maqqqmH6lWQ4G/pJlSFNIMx7cDG3CwVATu24HxnZmQKUXf4gmN+tomImWtrbYNQakJ2bg+zCSuh1Rpw4WQ+DVgWdKiwApaisAqFoAP1dLTBYcqDVaaBTAf39fQj7A/B6QgiGY1HO3JwCaJm8waSD1ajHgNsvySAQ9mPA1otsqwF6vU6yvWk1fmSavBjsdyAUKYExtxJRI6ORg9BFtAi5uIDQj4wMM3LmXX4xD4v0taUtkLbAObRAqgMQRj8YBUnVlgYgqXpnpnG/4qMgEi0Q0XZAaFj8d3z78Ec+gn/8x3+C2WQUChb155qhLFiKBoRZahwOJ158+TXs2bcfR080wOP1Q603IDuvANkEHJmZ4nCwrgiPRaBgNOgQ8gdxor4ezY2N6G5vh1GrQ25GForz84V+xdS9Odk5kmmKRdGYlrW9rQM9vb0IRYKyMhpVMTVoFHqjDmajGRoWRmM/WYhdoyFMQjjoRygYEGqVTqeRSIpOq4fLFUtnm5WVgazMbIkiuN0u+Lw+0V4wZSjT8QRCEUlpqzXGAIjd7RYxvlZrgJ5pSaMaaMMq+N1+BPxBBKIxMW9Io4Y3FIXb7UHIH4KWpczDIegiKmSqLTCw6rpGg1JLHizMvkWKlV6DqEGDqE6NQDQEbyQAd9AvACSsjsjn/R4HtGYD1m3ZhM1XbsGylSuFfkW6Gqkxzz7+OL70V381apTOnTtXVlyU6IcCPlKJg0qnNHEcTuPHbcyuXygA4jv5CAoKc2FrbkFmXh58IRUiUSMGwkDEG4QnGEZAlwuj1gqXywat2guLiuXSdbCrjdBaVMgMDkqiCa1OhR67A36NEUWZVvR2D8BoLUTYa4fKkgV9Rj4KjBFoPf0IZFYgEokiQ+1Ab9tJzK3KgV6nhj+ihscP6A1mNDS2wWzOhN/jQUGeFZqIBxl6RkD88DgHkZ1lxUDFhy62oZC+nrQF0hY4TxZIZQCS6voP3pJpB0CKLGGUWSPIM0bECexya9Bg18AdoBt4do2+2WXlfiwtDKLQHIHdr8auTh1eb9cjEOayfLolawE62gQi8dmwSJ3o6OgYcQii80cefQwV5WUx2o6aKVuVHJoqyRpFAGLrH8B9f3oQ7+7Zh86uHilEaGRBQY0O2Xl5km2HNQL40NH5ZSYsahgobrf19KKnswt93d1QRaIwqGOrqIM2m1QCr507FxaTWdLvEiR1dHaKKJbajSgIoPyEGEKhMugNMu4ol2cNj5zsqBRbC/ojMBpCWLLCg64OM7payE3XwuN2ybkyMzPlh/YgAKHgNZZqNyqid18gCLffD5VehzC57D6vcNL1Wh1YUt0QpQZEDY/LBz/3pRWZOUulgptpgUNcHY5AE1GL9oVV3i0wQBcFTGoNSiy5MGv1ErmJaligWiu8d6G9qaIIhkO8UojgRKfGoMcpVK0V61dj1cb1mLdkIYKRUIx+5ffjzttvR8PJkyPuJcXns2fPlmPGA5BUol8ReCTWpUl2TE+n7S4UAOl59x7k5JlgiUQkQhlW6RGJ6uCAGjnGLIQ1Oujy6hDw8LkJw+XshMbnBYJa2KJa6DN1KFR7EGaCBy3Q2NGJ5j4HVtTVoqu9D4Vl1TBqQnCFVHCFtciMuKEPDMJpKJTnqMwSRsDVjRkFBkQifrjCanT0uWCyZKGxqR1Z2fkI+jyYVVkEV38HMs1a6FURWE0siBpCb8lHp9NtTvc1bYG0BS6gBVIZgKS6/mNaAZBsQwTXVvmxpDAIAoX45goAL7YY8XanHsFYPapJNx7zrvlu1OSGQf83vj3fZMCrbWkQMhmjKlGQWJEwpqhlUb7gmFGQG2+6SVbTCUCYClNLHQKrhEkyfylmjMFBO/54/5+wb98B9NpYpdsKg8kCncGIrJxsWKwZEmrU6phVRyspczMyrMjMsMqKfF9Pj1TsVkTnPHpbS5sAkNWrVgq3nGLqPXv2wOv1QaPVICuTlClWSHdCrYpKZEOv0wnligX7CLL0WrVk39KqI6is8mLLVS4cPVSEE/UZCPjDoisxm8wSATEYTJI5ymEfFKDEgoSkWFEX4qUYN+AHs4xSAyIic40OeqbclSxYWhjUjKi4EQiFJatQkBXJVYA3GkGEGcSk1oYOflaR9gaEiqWJADpokJ2ZKRqZsBRHDEIdjUilaqvJAoteDwNrdUQhY1+t1sDlc0Nt1KFu+RLMX70UVXVz4Q8FJPXuK6++jH/+p++OGg6MfpBmRvARS60co1+lUvSD1KtELdJkxvV02fZCAZDpYp90P9MWSFsgbYGztYACQJRU8/H1ri70e48Lnnwfp3KbFhGQ8oww7l7gRmZM1ztue+iEEbu7pgZC1pcFcN1MPwz0whJal0uDnx00wx1MR0EmM5iTjYIQePzkpz9BZUWlZJVi1EJWzRlnkIKEgN3hwuNPPIH6Y8fhdHmgFV6jWpxxFgPMzs1FTk6OCKhjjq9KHj5rhlWiCN1dnQJAKFTlD4v6Oe1OqZxePWe2AJze3j4RuLIwGgXnmZkWeFx2OAZtMBg0UsiMFC8K0AmoImGu0upiNTQ0YdQucGDT5Q6881YZTh3PRMAfkcrMer1W+Onsl9fnhcvpEuEs92UGMAplWVuENUB8kRB8zDRF8ayaq7MahAMh6NVaGDQ6uFgwUQBIFH6uMkcj8EejiGo1UNF2Wh0CHj/CXj+0YQioYJ15amRIbSMwFPpROAx1NAqL1iCRESMzcqk1MAxFXXxBH3QmPWoXLcCsxfNRWlMldUkcHhe+9rWvoqWlecRQmA7RD3aY4nMC4ou95efmIi8vT+638hzK7xisP+to8cVuv/T1pS2QtkDaAmeyAOdRvk+6e3uHi+2mEgApKCiQRd1UbikPQKy6KO6u84AgROrTnaExEnLPfiv6vJQHT659uNaLxQWjoys8ShqATM6WytaTiYLMX7AAX/m7v5MIgxQlVMXqgkgmmyjg8njw4kuvoLGpCW6PT74nfSkQDItwPK8gH5lZWXLfFQdTrwCGcBh9vb3o6uyMOV+sfhwMQafRCtAgcGlv74DN1i+0KAIXWT0wGwV8DPb3wGKMaUuY3UoACCuoCwDRimOv04WxaOkAVqx24NUXK9DeamWpg1j1cHH4WCWdpUiYhtcHtUYl12o0GEV/wi1YHdodDsAXDYvjqFNpoaXSJByBVsU0xVq4vV4BXUFVFN5QCIFwBEEem9EPRh2kinlQftTBiDCqCECixHK0Jau0M80pnfBIFEaNToTqRk1MvM56I7ymSCQkmb/m1FZjxvxq5FeVSt8fffIxPPbYo6MGxHSIfrD/TL97KbTEbHRKMcyLtfDipXBP09eYtkDaAqlnASXSr4APJep/ISMg7APrf6R6S3kAcllFAFfNGDsyMZZxf37QjFODWtLmJ9VumO3H+tIAdPTYEtqfW/R4qcWQ1oFMyqKxjceKgpCD39bWNupon/zkJ7FyxYpYWk1GFljgTxJiqcRpf2vXLpxqbJECcsyQxTS0ZksGqqurkZOXC6/PB4/XIxoFZpdSaF+kQdH5DPhZuyOITKsTgwNR5OYWw2rJhE6vRm9PK2w2OyJRrQhVmUXLZFTDrO/E5k2nMH+BH4cO5OKdnaVwOYBggML6iPSNiwxZWX5s2dqLmnlu7HozF6GgThz+t14vFL2H0J7UmlgEIhwWQEIARIG6Ua+DRqVCIOhDUEOBeRjZOQFs396LFSvsyM5hlh4N3t2Zi4cfyEVruw6egAq+UBAhrnAzbRipTqK90CEcYqaqENSBMCiRJwBhBqsIC6+rVVLFXFbCma7UaJSoh5aRJn8ICMSKxFErYrVaMLt6DiprqpBfViTO+3e++51RAu7s7GwpPJjK2g+OI44bFiC8FJoCQBQdFp9DSaNMqKug4kvBEOlrTFsgbYG0Bc6TBRR9Y4xSrbAvLjztmMwKZqRM9ZbyAOTzi12oyooJzpNp9x8zYV+PDqFJakGum+XDhtIg9AkUrKM2LX5/1AQvyfmTaMm+5C8kSp7E5Ux507GiIFyNPXr0aKwgX1xj5OGrX/0KjEbTUGRhCICwFojfj737DqCpuQX9/QPiaFP3kZuXj9LScql+bHc4JKtCIBhEiKLqId0Jiwoqmg0WGvzx9/fj0cfL0dw0D1lZGtQtaMT6dcfQ0qLFw48Wo7evROoIzKzsxN2fPIzSUi/CIYrbgaceL8VjD5bD74OI43NzA9h0uQ1zql0CPoIBFQ4dyIStzwj7oAEvv1gk4CNIGpVBPxShiUj/uEphMhhg1GolkxazYkW1YZTNcOOv//aUjPn9e7LR221GYaEP6zb1ouGkEX//9VnwhdQIUIdCIEFqFWtAk3rG6EUojEgwLGCCcikBIKRp8YAqFUJR7hcVAEJqmKQ/pmNK8BEKQ8VtI2Gp2VA1owoVMyuRV5yP3/7ut6g/Wj/invEa5s+fL1QyBYAoK0D8nSqN45DhcsUJT5V+nc9+xEdBlIWANAA5nxZPHzttgbQFLiULKP5bvN4xFZKukBLNTJyp3lIegHxlhQuFlohQZ5JpP95jRZebXPdkto5tQ3rXpxd6YNHRjQMGfGq0OjU43K/FgR7duML28UBGsuBD6eF4IORiASfxURBFkO50OnH8+PFRN2nNmtW48sorh7QVsfV73hSCiSNHjglVamBgUEAKU+/m5uXBas0Q59vhdCIUJjUqjKBoNGKOvkREooxWxETRP/rnA9i7vwR7dtdhxYo23HDdPni9KoliNDSa8ctfL4HZrMdff/EtErrwzFM52Ls7Azfd1I816+z49+/PRf2RTARDUSxcMoDlK+1QqaOoqvLC5dLh8YdL0dNjhNejRcCvihUuDIdFGE8AQJqXPxiQ/lBTomP0QiIjQcypdeOLf3MSLS1G/PZXlbD1mqUQYQQR/OWXjmLWHCc+fXct3H6dACBGeliwUcacWjVUTT6KaDAsmYSY4VTGEaMfEilRCRiJyAMSjdG2eH5R+4ehjkQlGhOrJK1BWWkpSktL0G/vxwMPPTDqfpWWlkqod6yq56k0fjkGbDZb8pPCRbClMg/FR0MugstKX0LaAmkLpC2QUhaIj4SwYxf63Tcd9B+0U8oDEIrP5+aNzkw11uhrsmvw6/fM8ExCLM7sV59d6MKMuCjLa216MPOVPyH1biKwiP/3eH8n85TED9bx/k6FQZ3MtYy1zVjV0emQNzc3j+kU3nLLLVKcUMmkROeYtKLm5hb09fVLJiij2QSD0Qidnmk+Y7Qm0qwUsCNRgQgBSCwTlVqjiWXJ0mrx7X84iLbWAuw7MAN33bkL+/dn4o03c7FubReu2tqNPz1Yg8WLBjFzZh/uvbcML7+UjUgoirnVHnztG404ccyK//zXaoSiGhiMQWj1IVgzgrj1tm543Do88MdKeD1qSiwQDmoebQAAIABJREFU5f+GJiS5t0OhvBApMYxCUO8i2CEMiyWAz3yuFfPmOfGtf5iDjjYLVFG9gAONNoK/+3o9auY68Mm7FsLh0opQXYAEBfv8EfF9rJo8hfbUqQyfX2qrxMTHsYgJJSASP5F9JT1vREo/xgBIMCA1QwryC6VK9TPPPQOPxzPi9ppMJtTU1Iyoep6Kma/YadZ3SYy4TXU8T6f9zmZemk7Xme5r2gJpC6QtcKEscCa/7f3uE5kIRUVF7/dpp3S+lAcga0oCoD7DOEZ2qvgrJkXq14fNaHZoxPFLtl1Z6ccVlYER1Ks93Xo8ctIgRbTGeoHHryzyPOP9O/67xP6MNWCVzyb6rRzrQqPsZG3M7RKjIAQgHHykYiUWhaNju337dhGCC69SpRYA0tvTB4fdAVKqtDo9VBo6+dGYvoFF8uiLDznY3I+0qxgNKyS6Er1OD4NBjy/9VT2CQZNEN6xWD375q1no7NKiqsqBv/rCCRiNUZSVufHAA2W4//5i0V+wfojZGMI/fe84Kip9+MKnF8PpIfghjAgjNy+Aj36sHe4hAOLzUu8Ri9uNCMlKB1naIwYe+B9to9OGsGFDPz5+Vzt27czDL39RgkiIGba0MT1GZhDf+s57yM/34ZOfWAK3h+M8ds08DSNFBDO0FWEGBfoUyxOEKXqPWBiRQCXWCRm3ymcER6IRiD08FKrzvNnZWThwYD96+3pH3e45c+aAod7EooOpRL1SnkFmN5tsZHIy43s6bHupX/90uEfpPqYtkLbA9LNAKvlipI9TlzkdWsoDEBrxrvkezM8LQTMOpZyA48kGA3ZKHZBkyVoAixp+fnGMehXf9vdo8eBxo+g+lNV7xZEZ69/x3yWCjvFe+uMBkHhndaywXiI4URzcVB9sY2XlUYrCjSVILywsxNVXXT0cBaGTPmDjKrZP9BQx8BFBgCllxZ+OOd+KEIy/6YCTisXziFhcq4PJbMLdnziB6upB5OW58LP/XoC9+zLh9UZgsQTxub9owKaNPXA6dfirLy1AV5cOqqhGKFKs9fHpzzbhmut68LW/mY8TDRmUTAi9Ky/fj49/vB3BoBq/v7cSbmcsciHUpqEIhXKPCBiGwQcBVCiEggIfPvV/WjF7tgc/+mENTp4wIBLWCnDiuK+c4cVXv0bgpMaXvrQQPl/s+ofiK0MgJwYwJOcWoyNDwGw4JZx0Zag/EuuIJWVVxpTcoyEQQvDGTXt7e9Dc3DRqeE0X4Tk7zsjN4OBgqj8i6f6lLZC2QNoCaQukLXBWFuC7mSBkOrRpAUBIk2Ik5KpKHyws/xDXlJz21G38vt6EFmdyERAe8+4FHszOCY0qPEgA8sAxAzzBWHQj2R8FfNCodHonWnHkSjEHSjzQiAcY8Z/Hp3ZL3EYxRyqh8LEGP+2hZOOJL1B46tQpyVCU2Gpra7Fo4SLRKHBfp8MpRfuo7aCeQTL8UNsxVPdDSdvLlXvaQsAHaUhRVl1mqlwdLBYrbr21AduuPYG+PgO+9vVlcLkJVsLQG8K44/Y23HRjK3a8VYCf/PtM0XDI8QABIDfc2Im7PtWM//rPmXj55QIECFIB5OX5cefH2qDTRnHv/87AQL8BUcl9exoQnx4PMdc/9v9Y2uBNm2341Kda8MYb+fjTfeVwuVSIRJmKWAVm6V22fACf+9wpdHYa8a1vzYffH0tDHIti8HoFSgybMBZZOT12Y7gjZpeYPiqWFji+f/IsSVQlBoqcTgeOHTs66r6Qysa0u0xJHF+ASahcKSQ8VzpO7Qc1IOmWtkDaAmkLpC2QtsDFbAHSr/heng5tWgCQeEMyanHLbD9mZo8GDoxY/KHehOMDE6fhPVN636ZBNf7ngB6sKxK/ch//N/tE4zGtJ50brrIy2xE/mwh4JA4MOsZ06ghGYk6yRX7iswmdCYyMoPikgADqTAN/LEE6tRvHjh0TDUdiW7lyJYqLmM9aJXYWQCGOslJbgzqK0xW3Y7aIfa8I3hVaFqlCdJpvuL4Zt9zSgEcercRjj5VK5ireM70hiptv7sCttzTj3nur8MwzBfKdAkA0mijWrOnH3371GJ57tgi/+U0VfP4YAMnNCeBDH2pHQUEA//vbGejsMCESiekuuIGAjeFAm0J9in3HaMhnPtOILZf34fvfn4vDhzKpBxcKF6/HYIjg1lvbccut7Th+3IrvfGeBABAZj0oUg4aLAzsxgKH8xL4S2wxFPmIa9Bh4Udrw9pGwjOf6+iMypuMbx+Ts2bOH6XGJFc9TDQRzvDH71WSfyekweaf7mLZA2gJpC6QtkLaAYoHppP9QfGjVZZddNgnVxIW/2V9c6kbFOIUJQ+Eo7j9uxqG+8VPxEsR8ps6NLOPY19I4oMJ/79PB6Y+tBisr93TGHA4HXC4XmMVpLIf5XFmHjh5BCHUQGRkZoC4iEZCMB1CUPqSaM8h+jUXFIlCgPU+ePDkqTSqvccWKFWKH+BX9Yac5TmMRkzMMOdRx0RaFAkUgQTH6tdd04JZbmvG9f16AlmYzxMemo6+PYNu2LnzgAwQgM/DCC6zhEYsriBBcE8WMKg9+8MODOHnCiu/9cy2cTq10JSMzgO03d6K21onf/qYKDacsiEgSgyFK1FCHxyII0ibf+nY9XC6tnLe31zBiGBUV+fHZz57C6tU2HD2aiW98ow4+n+Y0qEmIfpy2TQz0EKQMU8HiNUunocfQfYmBEo7rQ4cOwecbmSaZm5eXl4P0uPiaH0rkIxXHGxcIxoqunavndKLjFOTlSUXydEtbIG2BtAXSFjg/FmCNql6b7YJnnzo/V5f8UaeT/mPaApBkUvM+3mDEzg5qQkbevDNRr5QtW+zAT99Rw+GLyAowHRjSOLgqfKFWUrlyT8EvnRnWXFCyDcVnHRqLphXzyZPXxSQ/1Ke+5VhULIKQ3t5etLa2jjowo0KLFi0aAcLO5rquuqoLN9zQKZGEwUEdwkPZzvT6CK65pgu3396CP/5xBp5/njU8TguP1OoorNYQfvCDQ9DpIviXf6lFQ4NV+ms2h8Hjbt7ci9/9rgqHD2eO2Hcia/3whwexf382nnyydBjU8LYR9Gze3IM77mhFUZFP0vt+8YtL4HbHgM+5aImgkOCDIDuxsbDRjBkzxiw4mIrUK/afL6bzuVAwkf1ra2pQW1090WYp973Q8MLh4SgiEz3w34nzH+cWjTqmvdJotVJThn+n2pyTcgZOdyhtgbQFzpkF6o8fR/2xYyPmnUtxDsrJyRE/abq0aUfBomG/vdaJTP3EQZux0uluLvfj6qoADGfIqmXzAH/35CCaOm0S8bhQoGO8QUQAwoFGMELqVmIFzvH0IqkyKBV7xutBlFoZTM3b398/qqsEYIsXL5brVa5vqiDkllvacMUVPfiHf6iD3X4agBBU8POPfawZTz9dggcfLB8BIggIDIYwPve5BixfPoBf/GIWXnutQPpKmtT69X247bY2/OlPFdi5Mw+BQPKF+AhAWlvNsm9/vx4qVRQ6XRQzZ7px003tiERUKCjwo6LCgy99aQk6Os7NJBOvb6KDeeTIkTEF27Q/NTmkXKV61itl8PB6SL+6kG26ARA+k6Q6MtPcVOe9GG3QAKPBkJKaoAs5HtLnTlsgbYFzb4Ejx47hyNGjI/S0U/UPzn3v3p8jct5lTa7pBLymHQDJNkTw18vdsCZkrhrvFu/v0eGhE0YRlBeTerXQMy71SjlGlz2Ij/6yHgPu0JRGjiUjExlZOZKpidSe7NwCmKxW+H0eDPTE+Oh0ooN+P/q6OhGJhKd0HgIPghBSYhKBSGI16rGyZ03ppOdop/hVdzo9ymorI04UpZOSldhYKb2uru50fZCE7FLJdu3OO5uxdm0f/v7vF44CIJdd1otPfKIJr7xSgN/+tmoUANFqI9iypRef/nQDHn64HPfdVymn5edLlthx551NePnlQrzwQjE8nuSFYN/4Rj3mzXPgiSdKcexYpkRYKis9WLmyX/rw0EPlQsEiRezf/71GxOpn2xLBx4kTJyQKldg4tphylysr8aLzeKB7tn05H/tzDI01js7HucY75nQBIHwGXW73mFGOqdpLoeZZLZZpI4qc6rWm90tbIG2BC2eBQ/X1OFJfP8wMScwgeuF69v6dmYs+043uO+0AyHipc890m4/aNHjwuAEfmuvH7JyJixo6fWHc+l9HYHONFOAmnkOr1WFWTR1KKipQWFYGtU6PnMLS2MqfRo0oi8JptFCpSU9QIxoOIOD3SxYnjVYDnV4LjVqFvq4O9HZ24VR9PWxdHejv6YTf54uJhJNo8UCEg1ChZSlUiERHMVUQ8lgghJEQUmaoBxmrcBy1IFyJP5tIyN13N4pj/41vjAQgWm0U69b14TOfOYXdu3Nwzz1zRtGoSMMqKfHhRz86iNdfz8fPfz5b7hCpUgQMH/1oM44fz5AICjUdybabb27H7be3IhRSDUVAYtEWHuv554tx8qQVs2a58YUvnMCOHfmiFdm6tRsbNvRJFIagZzIt0fbjgQ+OIYrOqUNSwEc8/S9VxlLitfP6GP2gY30hW6oDEM4wpJbymZtqxGMi+3KM6HW64Yx/E22f/j5tgbQF0haYjAUOHTmCw0eOyOp/IiNkMseZzttOp/S7ip3PKwCh3uKycj+WFgZRaI7A7ldjV6cOr7frEUioMp7sja/KDOPuOg/MSUZAlOO6/JAUvsnKIa7+10PoGwOAlJRWoaJyNspLKlAxdzEsmSZAGwbLWWt0dDhVUGm1iJIHzfypah3CSu6hcBAhvuhZY0HNuhTkS8eqTvv9Qdj7B2Hr6Ybd1ovejla0nDoJt30AQR9TiE4MRpQMCIyIKNmJlIcxUSicKo5jvB4kPhJC8EEQMhZ/n0KrefPmTVkT8sEPtmLTpl6hYDkcpylYBBHz5zvw5S8fx8GDWaMAiDJ2CAz+9m+PwePR4t/+rUaGGIFJdnZQAAiF6Y88Ui7RlWQb6VUbN/ZixYoBEAh1dBixZ0+OABBSskIhtQASitzZj337snHDDR247rpOPPZYGZ57jpnCkmuJmo/6+voxaVdKxqt48BE/nhKzryV39vdnK05sY1H53p+znz5LKgMQgn1GPd4vkCaJNYYy/b3f9yF9vrQF0ha4eC1w4PBhASCcYxIBSKr4Oufb+qRfpaoWc7xrP28AhODjrvlu1OSOjjg832TAq21TAyEL8oO4Y64PJu3EDvnZ3PB4AJKTU4Q167Zh3sJViER96O06BQPpVWYLtDoNMQa0Bh1IEcqwZkBtMEBlMkGrN0GtMSAUAYJBRj5CiIZCUqGbBd9YkJo/wXAAoWAYXo8X9n6b0LJ6u7vQ2dYM50A//G4n/KRHBANJOQvUiJSVlUnmqLGASLzjmAoP53gghBmMuDJPelZiUzQJdI7jw63JXM+iRXZs396GH/2oNlbQb6h4JR17CtEZBenuNuLo0Yzh7wgwFADCv6nFqKz04tVXYxoQfkfa1LZtncjP9+PRR8thsyUUrTmbAXkO9lVWuBV7E9xR8zGW4JynmzVrllRUHY92lYytz0G3p3SIVKn9kaoAhDoPt8czJdue7U5mk0kSaaRb2gJpC6QtcC4sQABy8PDhaUURPhfXrRyDjJD8/LOnZZ/LPiVzrPMGQNaXBXDdTP+YYm9/CHilzYCGQS2aHRqEJ4EllhcFcMscP4znGYDc/vN6BMylmDN7KeoWrkdWXhE0OhXsrh50dTYiQkARjUKlUUFn0MJgMYFc5/z8AhhMFuitGdBZLNDqzYBKg1AoiHAoKECDNKyg1LyI0UMi4SD8gYBU+PZ6XLB1daKzrRWdbS1w2HrhcdoRdHsQCQXB2td0yAXETEDRovPItKlK1qwzrQxcSGcyXouQKEwnCGEkZCwQQnDFgni8zvEygCXzEFwK28TbmH8zwsTIB+k3Y7WKigoUFBRMS/DBlf2enp6UuK2pCEB4zwlAJjHtnnNbkqY6Xar1nvOLTx8wbYG0Bc6pBS51AMLFZi6AT7d23gDIh2u9WFwQBCMhZ2qs29Ho0EkF85ODWjTYNQifgbZ9pgKC59L4TwY3wGetgsPmgtflg0prQOXsWbDmZuLkqePoaGlE1O+TUxrNRlitZmRkWCQ7ld5ogtmSCWNGpoARjd4g1SBCkQgC/oBkmOHqszjb4RBCEQKQIPxeP7xuF+wD/ejtbEd7c6NoQjwD/YgE/FBFo/AFYtlp4mk0ZwIijBRUVVVJTZGxqlanijh9IhDS2Ng4Jh2LwIPXV1JSMgKE8L5cSFB1Lsfi2RwrPuqhRD4GBwdx/PjxUUUGeR7FntM18sFrYNpsAtdUaKkGQM4n+GAF3nUbNuDRhx+e0PScDzk3pUHIhKZKb5C2QNoCE1hAASB8f8VnaUxlmvCZLonvas6n8e1Mfh79Ts7tXHybqE3kFynf83wTbTvRuSb6/rwBkOtn+sEoiP4M6W7H61yTXSORkQY7AYkWvjibns1xJzJG/Pc7sm5Gn6YYHrcPjv5uKeVWXbcEBWWVOHriGBqPHYLf64HH7YbP5YFepUJ+QS7ySguRm5uHrIwcmC0ZMBrN8qLV6XUIRyPw+UPw+gMIBIIIhkMIhoOIRBkdicLt8sDjdMLPKEhPF1qbGzHQ3SkAJOB2IRwMSrRIIiCR0DAdS8kgNd71EXhUVlZKpCCRkhWf0vZCO+3jgRBeH1fsGxoaZOV2rMbsDxRLMxQ5WUrWZMbFdNo2kXLFfzPNcVtb25iXwXFC2tV01HwoF5Qq4nOlP6kEQPjsSC2jKQxivuCWLV+O7JycUXszyloxY4bUKfJ6PPji5z+f9BmYWc2UpmMlba/0hmkLpC0w2gLTGYBwbuUCKv0z/nAePRdNaLZu9wgQwcXHsZqSiET5jovjXMiLByDnY7H6vAEQpsv9whIXshOovi1ONXKNgEUXkahAMq3LpcEph1oiJEsKQpifN3FkJZnjnmmbd7OvQbd+Fig/6O5qg9vrQ/Wi5Zi1oA627m4cf/dt2J0O2AcH4HG7EAr4JfNVYXEhysrKUZCXj0xrBozUghj00OsMiEKNUCiMYDCEQDCAYCiEEAt+RcII0sn2eOFyOuG22+GyD6CrtQl9Xe2w93aLDiQcDMEXCCFM8BEKDVOwFEeT6PdMKJmDnKhaWSFIFKgr9jjfqPdMdj8TCGHUiCBkPNoQnZmamhoJRV7KlKzEqAf/zQedUQ/WtRmrEbgxkkTbTUfNh3JNBKoDAwNn+/ifs/1TBYBwbnCMkdo6mQutqKzE17/5TbAg6ETtqSeewOOPPjrRZiO+z7Bakzr2pA6a3jhtgbQFLhkLTDcAQkYKF/tmzpwp7JRUbUzkwmyS7e3tYy7snq2veN4ACA3KWh0by/yozAjDG1bjSL8WB3p0mJEZwkdrPcgwpKrZgf2FN6NbNxN+1qVoOAmP14/apStRt2IlggEfTu3bi66uLgz020S34fd5hdJitppRUVGO0uISZGdkQm8wiEBdp+PFsi6ECqwqzG0DAT+C0SgiUQgYEcTqcsFpt8M5aMMAxegdrejv7oDbMYAQaVr+oACQcIhRkJFcNTqasejI+Bw2om2uWDIqowCQeCCS6iCEjlRTU5Og87EagQejPRThJ0ZCzvZhSd3RerpnCoDjJxwH/DcnEepoOObGahwLjB5RKzSdwQev7UJXPk+0byoAEEY8HHa7zDuTbVyw+PtvfQsms3nCXTneCECOHD4sCwXJNrVKJat+l8LzmaxN0tulLZC2QPIWmC4AhIs4CxcuFO3qdGpc1Nu7d69QvM5lJszzCkDOZOD3S0w+1Zu8t+wj6EARHA4nmhpOIhpVYf7SlVi4ajV0Bh06TzagpfEEBm02eFxO+HzMpR8UUXpefh5Ki4qRl50dc+r0GmhFB6KBSqVBFFG5kdSC+Cksj9JZjIqD6PN64WRkpb8Pgz3dsHW2YaC7Hc5+G/zk+IVZtC9WuI8FDKPRiIjho5HosMPJfyvO51jXT8TN1W72bawsWakMQpRUvQR/nZ2d495eruRzdYHirMTK6RejozNe1IPAY7ywK41HQErAFs+bPZcTzFSfv6nsx+dnrEKKUznWudonFQAII4acaybbSGv89ne/K+muJ9P4Unnjtdfw7NNPJ10I0qDXp/RK4GSuP71t2gJpC7y/FpgOAIQMlLVr18ri73RsfL8eOHBAIiIEUkrK47PR2VwwAMIbcGWlH1dUTk0ncj5uoAtWtGcvRW/2UrhggcPtlhXV/u4u6LV6zF24BPOXr0JmXg4Gem1oPnYYdlsfnPbBGA0rFJLq56Sz5GZloTA3V4TpDHzoDFxd1kGtilXHZhSD0RXqQfwUDhGEhCMSBfF43HAODqKX4IMUrJ5OuGy98LqcQgkjZSuWLSoGQriyGQkTdMTE6ZFoRD47UzSEA2jGEG97PBByoR31xMxNyvUomhemj6U4/UzCK67g8joTtSG8B+NdHx8sszUTa668CQaTGS89+jv4POdO1MzjZ+cVYtXl1yMY8OPN5x4WPdEw8FOrY0UoVSqw2GV+cTnKZ9Ugp6BEgEJ74wl0tzfB1tMp2dB4HQG/bzgxAe3DkCm1HuNFw9gHRomYui8xEjZd6WupJD5X7uWFBiDC5XU4JsyYFz+fcm7YuGkTbtq+HeYp0AN4H55/9lkcOnAAPSwGmURBVY7hzKFil+djbk8fM22BtAUuXgukOgCZM2cOVq5cOe1vAH2L1157TVL306dSFi6nCkIuKADh3bi9xoulRedf0zHenfeGNWjwZuBYZAbUVathyi0UZ97v88MfDqG3vxeegUFooUbVrGrMW7YcxVVV8PgC6Dh5FL3t7XAO9gsAoTENRhMi0TD0Gg0KcrKRk5UhRQr5ucFgkmKFKrVaHIIQdR/+ANxej+hCJEXvEDXL43Wjq7VVAIizuxNuWw98Ljt8/uCQo0kAQsAR+x2KRoCoSvzWGEAhMIlKul+eZ6zGwVNdXS2ZaOJXwBMjBhfyqVFW9pWIjhIBUX4TsFFYPV4tC/adDhWdba5AKNXhz1QLhU7/nLrl2HT9B+EYsOGZP/4PHAN9I8zA/a1ZucjJL4LRbBWqHbOfxTcWnezpaEZ3W9MIB5DbzVu6FmuvvBGdrafw0qP3iuYnsVkyslC7ZA1mz18iYNLrccpxCF40Gi1s3R3Y88YL6Go9NRzxImBuaWkZs4q8cnyuwDA6xPueWLhpuoIP2oVRsYlSU7/fY3kiAKJiAVNtGPn5g6ic0YmiYhuyslwIBrXo68tBd1cuTh6fAZ9vajVlqPtIJjNKol0+87nPYcVZvDB5H06eOIF///GPx6X+JZ6Tz2ZWZub7fYvS55ukBZikYsny5ei32XD82LGhlPIjD8L3SUFRkcwzjEqeGieV+iRPnd58EhYwqo2YbZ6DRZlL8LLtz+gN9Mji5Nk0q9aKJRnLUGYsxwt9z2IgOPK9pVVpkavPw+rstejwteOw8xD8kVi20PPZUhmALFu2bNpRrs50r7jA9MILL4hfJQmWdLoRftVk7vMFByBnKlg4mQuZ7LY9QSt2O3PxTp8RKo0RWdl5mFEzD1qLFZEQKVJh+FVhOF0OuGyDiAZDKCktxbzFSzBzfh0CWgOcnR04ceSQ0KNCfl9M4KvWwGQyQB0Jw2rUIyvDApNBB5VaC6PZLI4qOc/kZfMnGGFNBj+cblesFkgoJOlmQ6EIbH096Gtvha21Ca7eToQ8LhGvc9X7NPgYomBFVcOr3VIrRChZYVl9ZH0RHnss54z0irH4//H6icna9nxsH592WKkVEg9GOjo65EV3Jv3LeECE/VWiIXTAs/IKccvdX0ZReRU6mk7iyd/dg/7ekXSv3MISrL/6FhRXzIRGy3Akq9rHoluSZShKEOvBe7vfxNsvPYVwOJbKjcfnca//6OclstFwZB+ef+DXsPf3DpuNfSGoWbBiPWbPX4qG9/ah9dRRBHxeiYpk5uSjpHI2lm+8CoO2Hjz4ix/i1MkTQkmbKP0saTXUAI2VDU2pojrV1Yzzcd+TPSavezxdULLHOB/bnQmAaDQRmEw+LFpyHDW1zfD7dGhqKsOALVPGUEVFN6rntuCRB69Ad1fepLs3leiHcpKNmzfjzrvumvQ5lR34vP7nT36CQwcPJn0MjjsCkHNZzZfH5PFmz5kjTjMXLN7dtQudHR2j5kNum2oANmnjvY8blldUYOWaNTh65AhOjpHOmyujBB/LVqyQpCp73303lgBhKH38+9jVS/ZUapUa+boCXFNwHQoNhXik6yE0eU+NCUBUUIHb5+pyYdZYYdFY0ORthDcci8qTMs6mUWlQa5mHKwuuQSDixyNdD6Lb3zVsYzXUMGgM2JS7BYsyFuNd+zvYNbADvksYgGzcuFHetxdbIxWLRYzpPxKE8JnnPDvZufuCAxDeGIrV767zoDwjLJXBz1dzhzTYZ8/EIW8J7GEz3CE/QsEAjBodsnPyUDanBnqjEfneRpR7juE90wK0RnLgtnsQ8HiQn5eDmgULMGf+ImizcxFyuXFk3150tjYhTApMJAKH2wOL2QQNwrDotci2mmFiZXSNFharFXojtSBDLzoVa4NE4fH5haPNH6/PB18giHA4Kil++zpa0dt8CvauVgRd9iHa1Wl6VcwZj9GvuLoRc9RjkwZpWBIYiUJWQZnJa6wVEOokqAlRQmqJ3L4LTcWKd2rGAiIKNYtcd1KPnBNk+yEQITWrtLRU0Hs82CKQuOzGO7Bsw1aoNRp0tzbi8f/9z5EREJUKC5avx2U33CERKEbA4ilQXrcDboddQEtrw1EM9nUPAyOjySKRlYUrN0Gt0eJU/QG88OCv4YyLgPC8pTOqsf7q7Wg6fhj733pJKGDKtbOPHKfXffizqK5bjnu+91U8+8gfz/jYcKLgRMjVS2WiSMyCdj7S7J2vZznxuASf44ns368+jHWeMwEQk8mPZSvqsWLVYTScrMCO15fC4zEhENCCkZFuN34xAAAgAElEQVS6RSex7fo3cN/vt6G5qWTSl8HJ3eP1Tno/7nDF1q24/cMfntK+3OntXbuw4403UH/kyKSOwZeZJQnBe7IH5ZjW6fXYcuWVKC4pkcyL+/bsEaH8RFkDkz3HpbZd7fz5WLp8OXa/8w4aT51CaCi5BW0tKd9nzMCylStlznt7504BewpVNA3w3p/RolfrsSZ7Ha7I3wpf2I8/df5BQMVY73+CjxxdLq7Kvwb9QZu8Z94a3AFXyDmiszm6HAE0NZZa2AJ9eLDr/hEARKvSYbZ5NrYXfwBalQZvDryOXQM74YtMbQ6ajKVSMQJCoTmjHxdjo8/1+9//friWkxIJSSzrMNG1pwQAYSfzTRF8qs6DfHPy6Xknujjl+319epyIVuBEIF9WSTXhCNRaNSKqqAAei96IkgwN1hZ5MSPSDGPUS4iATm0ZXjBtxYAzJE5mhsWImppq1C5cBmtxOZlVOHnkME6+dxAexyAsFisG7A5o1IA6EkSm2YDcDCuMBj3UGh1MrIyu08oqNlEBHU2K2wNMxxuJCPhwuT3w+gIIRSCrdYM9nehtbcRAexO8g32IhmP1PxSnW6FXU5genwFJMmINaUNif8cyZDm93jGritMhJ0VJCafFV02nHVMRhIjeRQBY7EexCTM2UP8wEfWEUQBGBIqLi0UAy4enbuVGbL314zj87huYv2yt0Jwe++1/wOdxnV7pUaux5aaPYP6ydXj+wf83TIFSNpDIExMFsPJ9KEaZExQIYOmGrVi95Xo0Hj2A6oUr0HLyCF546DcjNCYGoxl1qzaiZuFKvPjI/6Kno0XArXJ/mWq2z2bD+qtuxh3/56/x4G//C/f+7EdjPg68j7y3/FGAR+LvVIt2JftcK9sxYkjqWSq2MwEQUq5u3P4q9u6ehz275yMU1CISia3A6PQhbNy8F5s278FvfnUzmhpLJ315TD6QjP5irAPf9sEP4uprr530OZUdHn7wQTz3zDNT2j8nO/uczTecz1ijhA5zX2+vPANMvrFrxw55F5wpYjqlzl8COy1euhQLlyzBm6++irbW1uF5lgtYjI4sX7VK7t+ed95BS3Pz8MIA5yLO0el2/i1QbZmLDTkbEUEE2docPNh5P7oCnWMCkGxdDjbnbsFgcABd/i7UWOfiVdvLcIZGpmxfn7MR5cYKoVgFI0GJgBCwKK3YUIIr8q+CO+RCpWkG3rW/jX32PZdkBIT+xLZt24RpcLG2p556St67TPijRELiKe7JXHfKABB2dk72uUvP22rz4bnDAzgcrYKlciHMZhO0GlVMR+FwIRQJw2QAluT6sT5nEIUGH9RjlOh62Hgz2nwZGBy0QaeOYGZlJRYtXYmc8tnQm03obG7EkX27pXI589n7gyF4PC5E/B7kWAzIy86EwWCEVqcXAKKEqhihiKXNFV6O/M1q6G7WAnF7EYhAdCGu/j70tjWir+0UPP09iAb9ww73MOAYyqIV83OHnF0FgBB4DGXIYhHDYCgo4npGTBIbxdq5ubmjQEiqrYzHZ3yK14Yk6kNISerp6UnmOZAHqKCgAAuWLMf8pWvQerIeH/rsV9Hd3ozHfvNT+LwxETptQWE6ow+kQj31+5/B1t2e1Dm4UUnlLKFPMcvZtg9/Bo1HD+JFAhCvZ5j+QfrV4jWXoaqmDk/f9z9wSITFLw87r4d0I0ZB7vj0l/DBT/wl/udH38LTD/5uVB9Y1IhRj/jwaDz4SExTnPRFpNiGdLTHqw1zobt6JgCyeu0hzKlpwQvProWtL2cYfJCalZtnx43bXxEa1q9/sR2tLcWTuhTqvsar+ZLMgc4WgOx66y38+pe/TOZUo7ahGP1cvbgZ3V2xejUyMjNlNZ4vy4WLF6Ph5Em8d+gQwklUDp7SRSTsxOtRFkqUlzSdcY1WK0kySFnav2eP6AiTbQplTOYko1Ey/uXm5UnKZIVI0NXZie6urhj1s7gYtr4+md+rhgqOMlrc2tIiY4VRimQiFKRW1S1ahJf//Gd0trfLdfE6GFFeumKFzJH1772HxoYGoRRz8YRNrnsowUYsOj9aj8C+FZeWorW5eXi+pTPHe8i+SuFfnw9+n294wYmp6/n8c7ucvDyhfTHttAIuRa+XkYH5dXU4fvQoBvr75dhSNZvJWKqqJBnHzh07hKXAuTY+msr9hbKq0ciK72VXXIHdb7+Njvbk5/1k7+m52q7IUIwyQxkILuZb6/BQ1/3oSdCAkImhU+uxLHM5Zlvm4LGuh0EQsSRzGV7sex6O0MhU99STUOOxJmcd1NDgse6HRmhAsnTZojmxBwdxdcE27LG/i/2OvfBHJp+Bb7J2SLUIyOWXXz6qkvlkrynVt6cY/dixYzKn8tnjwo6SHSvZBeuUAiA0+Nmk5w0Gw3jlmAOP7O3DvhYXCqrmYP7q9cjNK4CJ1KdIGAGvG/m+diww92JhlhtG7ZnrAu+LVuOt6DLYvX6EAx4U5edjybLVKJ5ZA3NONgb7enD84H60NJyQqInBaJAJLuB2IMOoRU5W5rAAPSM7U7LK6HVamegZ+aA+gwCEK+b88fkDsLvc8Idi9CkWJexpO4Xe1hPw9vcg7PfGUu4qdCsCCUYCZGEpBmoUIBKLEAwBnQhkH/7b6/fD7o5ReuKbcKVnz5YXWXyxwlRdIU/MkhUfDVH+ZhSJaeNYCyOZ1U7aIDMrCzXzFuFv/+Vn6CEA+e1PhyMUtEVuQbGABwrHX3nijyJUV5rCgRzrRc7PVCq1vIgrZtfixo9/QQDI8w/8PwE4yj4Eq+Wz5mLjtg/gzReewLOP/EEcB+V7gg+z1Yp//I/fCR3wL267HB0tjcN9YE0FRnXGEpkrnPgzifBTfeKL7x/vKe9vMo7ThbiuMwGQTZftQX7BIF56cRUcduuQUxSFTh8EwcnyFUegVkfwx3uvQ0d7waS6T83XRHqgMx3wbAEIHfzvf+97k+qzsjHHrfEcpKqks0sAvmnLFhx57z1xiulArtuwQQrEPvPEE6K3U8aOOPIGA8orK+WzlqamYUeU8yGdUzr2bo9HhNfyLFE4n5WFgsJCZA1FbnhMOsF8ZplWnc4xnVw60Hw3xI9VAgdGZ1hhfsfrr8t+bFwQycvPR15BgdiCDjurzA8ODAhY4N90kpXnuLCoCHWLF8t+AzabbM+oJ7fd+eaboj3ceNllkpls5qxZsihhs9mEkknAQl0Mjz1R1Jh9W7V2LUjDov04r9Im7P+6jRvFRm+/9RbaWlpGUSJpw3kLFsA+OCjO+1jnIk2OAIRgTAEJvB9r16+XRCMEjLyW+PmW5yIdjDaYv3Ahjr73Hnp7eoajLZxvZ86ejeqaGhAYKwCEx6DDRHoeAQu/u/Lqq4U22NHWNmpO4XF4n9dv2iTRnabGRsyaM0fuMbO9EVCONw+xz7NmzxYQRO0MKYDns1GPYdSYsCp7NRZYF+Lhrj+NAiCkTM0yz8LCjMU44NyPJk8jZphmYEX2ajzX8xTsCQCEVK1MbSZuLNwOjUo7CoDEAI0OJYZSXFd44yULQJh4Yc2aNefz9qbEsXfu3Cm1QQg+OI9w3ua8oiywJNPJlAMg7PRk0/Me7XDjsf39eO7QAFy+kMQxMnJyUbdmA4rKypCTmyfV12dGWzA32oxsjWvMaMdYBnvDXYG92mWIqvVSbNBktmD+oiWonlcHc3YePE4HWk4eR9PxY7AP2GA1G+BwDMLrckCngbw8NGotci0ZsBblyUqcWW8QBz/CFSGVCl6fFz6PD+FgUFLyOjx++INuMIuFw+5BX1czbO3H4exsR9jrHgYfMXDBinMxQKIEcKIqldQWkc+lyIiSnlfiLjJRDrq9cHm9oyZMTsjjZcaifZJFtskMvnO1TTwQSYyIxAMRRg/40p0IiDDD1Myaefi/P7sPJ44cwH997ytQA8jKypSHraZuKbbeeheO7H0LB3e9KjQr7mO2ZCAjJ09W9pz2fhkbTLMbq9cSA3v8zdXCqpqFuPmuL+Lke3vx7P2/gsftFAeFtBBS8aJQ44bbP4GtN34IO15+Bs889Hv0drXLPS6bMRMf/8uvYf6SlXjtucdxzz9/TV7MjF4VFhaKEzIe3Uq5h9NRaD7WeElV8bnS1zMBkBUr38O6jQfw3NPr0dRUKvc2M8uFBXUNWLLsKDraC5GR4cbTT2xCd/fkROh0kgm+p9q4yv0Xn//8VHfHf99zD/YOOZGTPci5qAnC8c2XIYXn1CS8+tJLAgj4+ep168RxfOXFFyU6oDjC/I4LRHRU+fd7hw8L0KCGhPVy5s6bh4YTJwTwUvegLFbQOebfTITBzwlESEWio32qoQHH6uvFOaeTymxQ8fMPz7d67VpZiScI4D58NyxYuBA1tbXiqNM55vFJJeMqIz+jjoXRAL7s6fyTFkVq5oG9eyXqwP4T9NTOm4e3CED0egEgtAGBBgEit+dcweviKuY7u3bByUQqEzQ64HToH3/4YQFCvAZGBdi3/Xv3imNOuyU647Rjzdy50l8CjHiAzOsjEJpbWyv9o90UAEJ7EiRwH6UGAY+h02pRu2CBbP/Gq69Kn5hs4MC+fZKhS6F78bx0/AlQ3nnrrRHJKvi+u/aGG9De2oo9776L226/Xa4h8T6xL7wvlVVVAhjfffttAaiXX3WVvOMP7N+Pro6OMSlmvEc5ubkCXOioEXzs3b17IjOf9fdmjRlrc9ZjnnUBHuocGQGhoJzfX52/DZ3+Dux17IE/7MNM8yysyVmPp3sex2BwcFQfGFHZXnSrFFROjICIjVRaVJgqcV3BjULBuhQjINddd50s4l7sbceOHdi9e7fMHfFREIW+n8z1pyQAYccnSs/r9Efx6gkP/rSzDce7PEIzUpreZMbCtZswo6oSS4simK/rRoWqExokl4LOH9HiZLgI73iKsac9JBGU3OwsiTSwnkdVdQ3mLlgEa04u/F4vOlub0XzyOLo62hAK+KBXq+FzORDye4EIV6nCyLJmwZyTi/yCIsl3b9AbYtkDtFoBBUzHa3c54XC54REqFiMomQj4I+jrbEZf6zF4ezvhdzmGQ8/ibMdlXZKoCClXIkIHVAI8qDeJZWXi1kJTikZEc9I/6JTzJr4o6GQnZsaKT8+azMB6v7dJjIYk6kMUYMLVSb7EqBMZb7WPAGFO7UL83/++D0cP7sEPv/F5OB32YR3Hlm3bccf/+RJeffpheN1OrNlyDWbVLhymF3DlVaPWoKP5JF5/5iHUH9gtIEVpTPNbMWc+Pvnl7+DdN1/Cz77/97APxGgBbHxhElAUl8/ArXd+Fhu2Xg+Xw45Du3fKWFmyagN0Oj12vvo8/vDzf4VGBRQVFcp4Ggt4JFKtUhFETnW8EFQms2o71eOf7X5nAiAVlV3Y/oGX4LRbcPToTGg1YRSXkCITwqmGcrjdJqxcdRhPPr4ZvT25k+rKVNPv8iR04jhGvvqNb0zqnPEb3/PTn6K5qemMRTDHO7iGmeiysqZ8bsVxJR2Jjj9Xw+mYKzS9OTU1WLl6tegX6HTSkWfjNcsCw7x5kqmQGbw4j9ApLikrk1XxE8ePy7PJMUfnfeXatSDVUZzjoTTQfH7p7K5Ztw7tbW14/ZVXJArDv0lLigcgpAZxO0Ys9u3eLRGQ0vJyLFm2TOhNjNowNbuAI7NZHOmKyko899RT4kjzXMuWLxeKEfcnHZGON+cBAguCGOpduO/aDRvEFgQaBDpsCoDZsnWrXAOzWk3ULt+6Va7vyUcfFdBAsETARaD01htvSL/GeiY5PxGsENwyItXd2TlsCzr3BFhl5eVyzQRKyj1hRJrn5L2Kp2YRtG295ho5LwEIwVZZRYWAM4ISsTOjWno9Fi1dKs4/gUM8yGJk4robbxTAwzHygTvukP3HAiAEK7Orq+UeMFrC8XDN9ddLFIVj4vVXX5WxlLjAxSgXxxujO7zOE8eOybWc70aAQd1GrXU+Huy8b0QEhIubK7NXo9I4Ay/0PQdbMGZvUqg25GzG490PC71KyYCl9JVi9e3Ft8lzMR4Aof6DEZB3BnddcgCEmtKrrrrqfN/alDg+Acg777wzHAEhCIkvbp1MJ1MWgIyXnvdgjxp7u4DXT3pw5OiJUWFeZhbasmUtbq6zYHGGHWa1f5gPO5FB2v1WHAkWoz5QDE9YC68viLbOHnnBFBUWyiqSzmBASUUl5i1cjIz8Agnh23q6hALT0dyE7rY2GNUahAIeES4zOxIjGx6/D2azVULqBQX5Ui09PzcXZqtZhOnhiAo+nx8uj0cyaTlcdliMmQgFI7B1t6Gv5RhcXa0Iewi2IggNidHF8R5KlTe8+q+kOxzCZKoo1++HMmMJLStWIyQcjKC7f1AKIia2iooK0UQkitKVl8JEtrxQ348HRMYCJHxREogI/zmOjyz1URYswXf/6w8CHhIBCCMTN97+STjsA7BYMyWD1e4dr6C95ZS8iEjvYJRk1cYrJUPa//zo22htPDFsEp3egBXrL8PffPc/sOvV5/HfP/gm3M7TK48EF0pUpaRiBrZ94E5ccf0HYLFmyDEYaXvmgf/F4d1vQo2wjG8FZCgAJJFqdbFEPOLHFVf4GdFK5TZRFqy5tU2YNacVZrMPgYBOtB4UnPd052HmrHZsueIdPP7IFvRMEoBwbHOemEr7+a9+NYrqMpXj0JH72T33TGVX5ObkTGk/ZSc61tQNlJaVSRrYeMoP5/ONW7aIM6g4ksp+dFLn1dWJA09HmM4+V70ZxaDDyTHHY5P+RE0FgQWd4v379gkVh43f5xcUCJ2HUY8Xn3tOHGhSb6jJiJ9r6FyvIb3I6ZTvGRVYtGSJOPg733gDg9QyDBUb5fuHkQ727+nHHxf6E+fozVdcIbQj0bQMibzZ/1Vr1gididQu9of70vFtOnVq+L2p6Bu2XnutRA0IViZq3JYRoddeflkoVZzvCAIIQmgzOthjaVnonPDa58ydC5PRKP2lPTk3E5zwnhAg1R8+LO9V5V3De8JzEiAxcqN8zn34OcEKgQ+vj6CT95vRZJ5L0ccwykQ77tm9ewTgJDDbduON0hdGJu742Mdk/1OnTg1rYpT7RfsroI4Z3hjx4L4EUqRm8ZyJkR2en4CXII3gk9obRltIGTvfzaqxYlPeFswxV+OBzj+OACC11nm4PG8rnut9WuqDxFLxalBhrJSoydM9T6A30CvpduNbgb5QAEgoEsSjCRoQbkdaV7WlGlflX4tdg29dcgBk+fLlqKmpOd+3dsrH5/PGZ/NsF3jYgTfffFMACJ8hPqP8ideBJNPJlAUg7LySnteoiWBvjwY729TodUekRgcnCK72KKv3VoMGl83Lwl2bqzAjiw/TmbUdinGU1Lw7B7LRHzJBT8G4RotwNCpF//r67bCaLcjJzRGhHwXIReVlmF+3GDkl5QiGgxiw9cHW2Y6e1lY0HzsOn5NcVWa0ssPlDSCsMSGiiSJgtyPTYkRObibycrNRlF+AvIJ8ZOXmCrULUMPj9aF/0I4BxyBMBgtUKi3sti70Nh+Ds7NFIiCk+EiGq7jMSIQhit5DihPGUX6GqVlDFCB+JXqQEEQ032XrRzA0MjsJX858kOKLFMZz+1J9FT0ZIBIPSvgy53jiS4QrawuXr8W3f/IbHNr7Nn749c+NiIBce9vHsOHK6yTxwNuvv4gD77wpzoeyWkRAYDSZsWXbrbj5o5/Co/f+As88dO/w88iilOu2XIMvfuvH2PHS06MByFAEJDuvQEDM5dffioKiUgEzvC+llTPl94G3X8PBt19Dn1CzosPRj0TNzsUIPmhM3rPJiHaTmRDP9TZnAiDUd2h1Yei0IajVMTplMKRFOMRsQWoQnGy58h08/MBW9HRPLgLSPzC6sGWy10YAotS0SXafsbbjKjcLEU6lnQ0AofNNquu1118vTjUpSAQMInoe0nlQRM3oAOk2hw8cGJ5LCQjoyPL66QxzGwqOCSQUShsXZXi8OdXVAnIIYqhDUFb9lZVy1sro6erC8888gyuvuUacU/YnHoCQmkMAQieaDioBCCldpEcxosHxLdoxtRpmkwnrN2+WoqpPPf64rOTz/HS6qbtgH0/rxNTinDNK89ILLwjljJGcF559doRAWwFMdNAJJF5+8cUJb9fV27ahqKREogzsw8H9++XaN2zaJPSz1155RYBWosCfzgntRhsvX7lSnH5ux/slEaP168X5pyg+XkDOKIuAhIMHBeAoAITRFEZAeN0EIIx2cV6UqJbHI/ebcx/3J1Ds7+uTvipzBs/L/vIYBMsETh++805JLUzASqE77wdF7uwPAQijH7QlQR0jXjfdcosUY+T8T7ofj69EuXh8amLYL+pOuP3SZcskEsZIzPluGdoMXJZ7hdCqEgHILcUfEME5CwWaNEYY1EboVDpkarNQYixFg/sEugPdaPU2o8ETA31sFLdvL7oNgagfj3aNFKHzex5jrrUWV+ZfjZ0DOy4pAML7vX37dhknqdY4fhsbG/Hee+9JttNzUZU9EYAo2bAUIXoyNkhpAMLJlJGQQOh0mlVOdFy1bmpqktWeFVUZ2LogG1cvyIbVpEs62tEcKcFRbw7e6TXAZneJ46nRqGExmiSszbXDQCAIr9cHs9EkYSZ+brRaUVxejgV1i5BbVoUwonDaBzHY1wt7Tzca64+hq6kJAb8HducAHP4ItFmlMGabMNjSiCyTDpkZRpgNemSaTMjMyUFuQSEKi4uQkZGFKFSwOx3osTEfN7NumOB29MPWcgLOziZ47ARdMcG6IkQn1qKtSK0aBiUiSI99TjASr0FQBgYTwHB71iHpsg2OCh0znMhISHx9kFSnYsUP+vhrTgQk8VoRBYgov3nPK2sW4Ivf+jcc2P3WKABSPmO2RMJ6OtvgZX2OISAYf26++GoWLMFf/v33cWjPLvzix98e/prghADmL7/5A7z54lOjAAgdgezcAlx5wwewatOV6O/plIKFLSeOCLd69vzFqFuxHjOqF0gK4D8/8jsM9HWPqGeivKRTHSgmM0mNtU2qi8+VPk9UCf1M108tyNZrduKB+64SPchk2tkAkK9/85simD3b9sB99+HFF16Y0mHOBoBwZZwiadJuSDXiijOXo7RDmjsKx+m0kxLDNLFv79ghAmeOKWoL6IzTMVXSepPeEy/QppPL9xDBCelE/D5eS8LnlzoBfs/V8eeefhpXXH21ONeyaBYXmWIf6HgT7FBfwmjs+o0bhcZ0cN++4QgB5132jZEUrjQ+/eSTEp0mWKHDfPjgQXGYleeefdh2ww1yTS8884xETapmzhThOMFNPO2WYIuRDFK/uO1EjQCEVClmGeQ1se88Blf3qa+ho09QNkyDGjogAQgdDl4Lt6OGg+CQ9qTzTjDGCIxiI85dEh0xGnH9TTcJTYogTgDZEF2OwE4BIAQZ1OBQX6FEVhTqGqMrjFgQFDPLFZsCQGhTgkxSBglAeG8JrEh943XxOgh8eOzq2lqhKL752mty3TffdpsAI4ImgkPOz4xuUBvD+8PoB6llBJNczGOWMAKQd3bunMjMZ/19hjYTV+RtxQxTldQBic+CdXPRrSBAcYaccIdd8EcCCEYDAkoWZixCm7cVzrBTqpnvGHhjuC8UmBO8eCNePNr14KhK6AQg8zPq5Lzc71LSgDCb3bp16876vp3rA7A2GosGknrO52LBggXnRCQfD0AIPiShhck0nAkrmetIeQCiOIV8GfCHodmBjgasm2XE9qUFqMqnyDu56oWuqBkN2pk4HpkBmwdwuTxwsGDcQD96e3ugUalhNBihMxoQZY2OUAiRUAhmRj4MFI7rYMrIQEl5BebXLUJe6SzG2+FyO2SF3D04KBGQE4cPCVAgRccbikKfWwatRY+AvR8VJQXIybGC+XcjPi+C4RDMFiuKiotQWlKK7JxcBKNhdPb0wu7wwmAyIeTzwNHZDEfHKfgcsWxO4WAIYaa+4qIe73Q0itAQADkd/WCkI65I4dB2socKQsGSSEo0ir5BB+yu0aL0OXPmSLgunoqlOLXTxblNBCIxM8T0MGMJ2Ckor1m0And87ms4+d5+/PKH30RPdxc8HreMv/jMOeM9ZLRN7aLl+MI3fyDaDdKslMZo12XXbsfnvvY9vPb84/Jd0O8ToMeXVFllFbbedDvmLlqJ/TtfwaF3mB3HLmFylpDhS9GSkYWFqzZJLZATh/fgmft+MZwg4GKNeMTbmgsGExWcTGYCPN/bnA0AWbT4OK7etgP3/+HaSafhPRsAcvmVV+KOj3zkrEzD5+orX/7ylDQgPPHZABDSjejUkybEIngKnYeOLp8NOpj8XVhcLHOnZG0aqmdBKg0jFxSRku5D0EJnnk4taUa8LjqunDuYTYoaEKl3MZQxi8clUCDnn44zz/Xsk0/KKjtX5uOdckY1lChKb3e3RATofJM6xXcdz8mVdZ6Lfef5Fi9bJn9Tb1BSWipAkRGO+ONyfuB3my+/XMAGQQVTDxMgMMLBeijx9TgIyGbNmoXquXPx7FNPTXjfr7r2Wokw8bwEeMMshIwMAWQzZs4U/QqjEvFgRwEgtBE1NStWrRLHn1ERCrQZdaAOI3F+5bxIkMBz0YZKitzhCEhXlwAZuV6PR6IZSpFJBYBs2LxZ7jGjHMp4UAAIBe5M0UygevtHPyoUtaP19WIHUq4IOKg1432mXQlulQjIrR/6kIjeCQK5skwgxYgaz0UbEWjxeAQ33JfAlCJ9Hut8tyxtlkQiKAq/v4MApHu4Dgg1IMzIKNXph/5jf2aaZ+Oagm14rOsRdAc6EY6GEYjE6HBsrANyc/Gt8IQ9QxGQ09pFfk8AsihzCTbnXo4dA69jv2Mf/JdIJfSFCxeirq7ufN/WpI/PtP319fVoGcpIp/hr8+bNw6pVq5I+zngbXtQARJnUlCxGnFDqCkJYmufD8nI99NrkQEc4qkJTtATHVbPQpy1EVK1D0B+E2+WGY3AAg/02DPBnoB/RcP0vABQAACAASURBVDSWftZsgdpohJSQiQRh0utktUavN8CalQ3y8msXLEJx2RyQuDTossPlcSLg86H1VCOO7t8PR0+3gBC+QIJRNfyISp70xUsXo6ikCOFQAM4BGwZtvQgEY1XUiwqKUFU1C5m52RhwedDdMwCGgFThEIKDffB0N8Hb3yXcVK7GhIIxUBZzooecalKxhqMeiFVDH0q/G1cPL+aAE79Ew/ITCIXR3jOIQDA0YrwR1fLlRADGF1t89ezpAkCUC0qMAo1F0+JnFKHPXbwKt33qb9BQfwB/+vkP4XHFNBrKMVwugpEYn5JNQv5DtDfahVS+9Vdchw9/9m/w3CN/wEO/Oc2FzysoxPorrseH/+LvsHfHS3jm/l/C7/XIcQS4LFmFGz/6F2g4cgB/fvReeN0sghhb9YvXelBLcvlNH8HC1Zvxb1/5xPD+Zz2zTIMDdHV1TZjNLBUu42wACDNhXXfDG7j/D9dIpfTJtLMBIIz2/tt//Ic42lNtXBH+p2+fjvpN9jhTBSCkT1KMzJXm5sZGiSKIw8qUuUTvzBAYici1UR9CuhVpQFyx58o4/02hMTUZdEo5v27cvFm0RonOMYEGV91Jn+LKPOcASWVeXS00HQqSScEhALn6uusEYFBHEq9NIBWJTi5X0+mM81iMnDCDFVfSCRY4r3Bhgqv47CMdW0Ye6OhzxfGVl16S94Ey/3BbOsIEFFzJf+XPfxYNAgEInWOu5sdnSBMAMnu2nJcRkokatS0EV39+7rkRYEERtEu2p8xMcfYZmVFE/goA4fH5N8EU9yGwYwSGUQFGB5R3mhIBIfNg5apVwkCg467MtQSGBHa0HVMN817wXKTVxR+D9lAACOlSjFKwKQCEwIWRF44DitBF08NsYsGg0LcYESMwJb2K+7IIowJA4kXrvBe8Jr4rebz8wkIBZIyW8D4wnTABCMEJQe/5btm6bNFiEDQ80HkfOvztwwCEi1mJAnP2Z5Z5DrYVXo+HOx9Al79z1DaMptxYtB2+sA+PdD8oFdHjGwHIsqyV2Ji7SShYrAXiu0QACMEHQciFboyeEniQJSQRBs59arX85hxBALJixYqz7uZFD0Diox93LwxgYVGMkpVM6w5l4HCgEKciFQjrrdDqNNDpKA4Pg/VCvG4P+np60N3Rhv6eLvg8HgSCEWgoNM/MgT4jGwaeK+CGXh1b9WKBuNzCYpTPmo3qeQtQ8P/ZexMwOc7yWvhUVXf13j09+6Z93yzJNraMZWwMsmOMMdgx8ENw4E8gl9wkT9gCXByWLE7IZQnwX3KTsARCCGBsFttgwOAVvLF4kbVa0ow0Gs3e+1Jb9/+ct6bk1liyJY22makyw4xmqqur3lr6O995zzndi6VNK5vLymA0ENCkx3ffzh0YGujH2OCguBuxVYrakZ4lS7Hh/AvQ0dbGlEFUS3nkJkYkR6JULsIyHSSTKSxcuhDRZAv6Dw6hrinQCCoKGRgj/dDK4wJWbMsWipjvzwclAQTDxxiwSHqD/1ETwrYsccXyQMqkJa/MfNQUYVHYRsZ1c8UyRiYoyD5SPzMbWJCp18yxwAjX0wJBrLnwUlz3B38qOR3f/dKnRSTuAZZ0W6d84NNqd2qfs9seoCLV0orXvPGP0LtoOX56x9fw5CP3H2YowtEYXvaKq3H1TW/HM48/jLu++a9iWOABus1XvwGXXv0GPHj3d/DEgz853FY4VdvBgcOS1Rtx0zvfj3/8y7ccz20xK9bhQ5X6j5mwTAeAbLxgO657/QP4zn9fjR3bFp3Q4U5HhM43+tM//3Ns2LhR3vNEJho4sOUA7L+/8Q384uc/P6F9blz5ZAEI2VrOOlMg/qM77xRm4Gjp215/PpkKzkxzXdaMA122IhEocGabz1aK1i++9FIZmDLIzhu800GJlr0EEB644ECVA38OZgk+yMLc/cMfgqwBB9cc/HuMBsXt1KKwvmSYvUEwgQ3TxAk2OBDmpBhbecjs0KWK78c8D9oLE3A9dN99R6SNs62LAIztXLTmJrgioOG+claUg9/GXCGCAAIUCu65ry+1EICQfaATl8cmeK/hsfC4PGvi39HSdvduWY/XhTdhw/VYKzpzscYEJGxVI4PBv3k14nfuH8ERj5egzNPRsC5XveY1oq8g20Lgw+0TKPKzkJ9xngaEbW2sP13MPABCBopMFy2EWSO2y73uhhuEaWGNeJ55jlevWSP1oS0z34vMDc8VgQQBCIEJrwsZwC9dKiCDjAwNAtjKR9DEbbEVi4CEuqCHHnjgpco87b97AIQMyG2Hvo2B6v6jJqE3vtHi6BIJESQAoTh9KkghALm+4wYJF2QSOteZCkAuEAByOR7NPoInso/6AGTaZ/L4NsBrjMDjueeeO2xx3dgy700orVy5Ehsnn+3Ht+WjrzXrAYjHfvAD5Oa1Fs7vrCFIz9FjLNVaAPu1XjyjLMG+DFUcBB1BBDUNgQBnwICaXZO0cc4sjRw6hMzwEEoTEzKgrCkq6loAerod4WQzFNuAXc4hHABoDRlOJNDeOx+LV67GkuWr0LpoGSzDRm50VITnAVWFYRkoFfMoFLJiy0squpgtA1YNSzasw5p1a9GeTkMh62BVYJULGB8ZRmZ8BKVsQZiMZEtS0rKZ1eFwn00TRmYU5vA+aPmhSUSrAdxftlLVALNmo2qZwmCwPatm0+mKdrtkRDwA4lryupoFfgfsyVYkgiSuv//QuIQhNmYUNrIgXkDh1MHwdC7ks/3aqWCEAITtTde8+Z2SiH7HV//5cNgg1yU7km7twLbfPiKJ5nQV8xb+nfqQVRs24TVv/mMMD/RLmvnI4IEjAMhFV1yDV73+D7D9d49K+1Sp4KbOsq6bf+8GXPiKq/GLH3wTz/7ml4c/SI8cDCqiWVp+3kW4/u1/gU/OIQDC2ejpZFycyevtpAGIAjAn5NrXPSguWE/+duUJ7Tbb05gHcbILB6Ov2rJFPqg42DzeZeeOHXhu927RKDSmSR/v67nedGx4OfjnII/6BBlEvkiyOO81Dua5PtutOHClNuT8l71MbFg5g0/mnYN8tj8xw4IDf7YK8dg4MObAmYNoDjQ5M89eaA5S2QbEbXsAhINjfhZx5pwLbXM5Y0+AxPWZZ8EcEIIcTv/wveiGRRG0l5HhDWQJmrh9MjjUdXBQzm3weLj/HOhyu2QGKHrmOeE5pICa9SA44qDZYybIZrDFie1SBBUvtRCAMHH8h3fccdT68jOC7AxbyfgZzvcicGK9Gk0jyLQx1JAAkOCAzlJevorX4sZj4Gu4PYI1Mj9sq+N5IVNNYEfQwpwX2hlzUu6ZJ588wg2MTAlZDJ43SWdvCHAkSPQYEOp4XnXVVcK0UNfDWvG1BBysNdkctsjxfQgMCTqoASGoIbDk5yrrTABC1oXnkSwc35OfCzxOtvcR6P78Jz95qTJP++8MDXxV61VirXv70G3or/RJt8OLLRSsv6L5lfjh8PeQsV44ydMd7sENHTeB05YEIMPG0AsAyJrEOmxpvVpyQB7LPoKK47rDnc7lXEhCP1sMCO8Fgg6mkvPa8hheD3w0WvPLM2/FilPC1MxaAOLNNDe2Xy1PW/jjDTUkwtoLruMd2RCeqrZjOL4a0eZmlMolmcWIBHUBHxopqICKQECF49gYOTSM4YNDyI9PiG6jOCnslsA+RYEWTUCLJaCy39e2hD0JxSJoamtD97yFmLd4GeatXImO+YvFuq4wMYH82ATsalUeoAxmUNQ6yqU8JsbGMT6WQX50HPMXLcCC5W7SuEYhIluramXkR4eRGRtDbiIrTAyZmtbODiihKCxFRaVcQWFsGKWhPgTzgwJegipFlTymAGg9TOAk1rqyWbdFi2CEoMSyaNvb0JolDAeRCxkSNzekBheA5AtlDI1mX2Dh2ciCyHtOUnonMjt6Oh9Ap2LbHhBhEvnal13mApA9OyQJ3Us75zqtXb14+ZbX41D/HnGhYoq5t0hvec8CXPcH70ZTSzse/fmdeOTeOyWQ0KsVGRACjFe+7i3Y+dTjuOc7X5ZUdQ9gLFt7Aa76/bfjiQd+jF8/cM8Rh+ZtQwCgquKya27Chpdfic/9r3edihKc89vg4GF0dPSc309vB08agADYeP4OvPb1D+BHd16G3zyxGi/f/CS6usdw+3de/ZLHP90gQgECmoa//+QnQTOK412+d/vt+NFxDGJfbHvTCSJkqxMHthyoerqOF3svsg0cKLNliLPoZBU5gCT7wckjz9mKwIKz4Bx4U1DMwSpnxzno5Mw+8yc4UUMxO9kTholyYMtnJQf11BGwPYfAgc+QtevWybap8+B3Duo5UCfw8UTWBBMUe/PvFFpz0ozaCQKeh++/XzRjdMHiIqF+/LzSNBn0UnPAz0+2lHEgzZ+ZEk5QRYaE70FRNj8J+D78TKINLZmcl1oIVriN7912m4CWqYu0oOq6gAaCHv7MATvr2ajbYt2YubJq9WqpAwfqXoYJ95c6HrbyUR9DVoXHwvNCDQU/33h98nxzYesY1ycjTTtjttqx9gR9fH8aEhB4EejwnBEA8pi9cEGCHzIgDGtkAj1bungcBLRkXijgJQDkOaarFdPSCViZIcIASoIesi6HLZivukoGg7ymCFq4kI0i4OJ5IuN2Ohemlic0ApAtWBFbKVkfe8t7UHZKwl4ca1kYWYRN6ZfjxyN3I2cfGUTIrgoBIJ03gUGGPx65S0IMS05JtCIcCwUUDWvia4VF2Vbciseyj4rQne97Ope5CEB4j/T392PHjh3CbHr3TiPw4DXstc17LqYMml69evW0T8esByCe8JwP4OzEGP7+qjAWt0ekl3coZ+Gnz07gGbMXhUgnWjs60NnVDT0SFgtb3vypaARBhb1vQEAPQAsGUMjlMDRwCMXxLMxyBZVSSZLLKQIGbfs4GNcCgB5CMBBEAAqC8Ti6ly7B/MVL0draiXgqja5lS9DaOU9uuGJ2AnmyKDIroyFAzYgWkIA4pqfz4pg4NIigAqQ6W6WvVLProu0wNRN2PodiNi+zWEzP1hQ+IOPQEylYqi6MzfjQAEb69yBQHINaMxHSaggHFITYWhYIQgsGoagEBi5Ak/arWt1t07LJttRkRtSimN923DarOrXwdTA7nv8xnLBmOdg/OI6y+LM/f42ytWHRokUv0IJ4g+ZpX83n0AZoNrDsvAtx/R/+BQ7u240ffP3zyI27vdjuwCyAlRs3ycB/z7NP4tnfPIxquSQteh09C3DRlddi/pJV6Nv9LO751peQHR8RHY636OEIzrvoclx90/8rAnICkEJ2/DBAaWrtEHDC5f4ffhO5zNgRzjleP3tzexde/4734MCe7fjJd758DlXw9O3KTLDebTz64wUgikKrVXrgPX/TrVy9D1f93iO464evwO6dC/DKVz2BBQsH8R9fvv4lC2yY5hFJ0y/5gmOs8Lrrr8d1r3/9cb2c98eH3v/+abfHcfaY6dIns9DFiM5WFCuLhe1LZKGQ3aB4+JLLLsOu7duFNaB+gnqMRrE2P7zJFFCzwQ9+MhkcnLJNioNajxEWfcdkkCIBCPeFzAaPac1556G1tVX+7uV+8JnPheCErTl0eGS7FF9H+1e+rzchx8HyitWrhfW4/9575dkuLV/MHVAUZCcmZHDObZMhJBiJRaPSCkaQQUaFFrnsIaAega1l3G8yNxzoU4R9PKwV2RyyLD+8/fbD4Y6N56pRp0bgwJoRIBG4kb3wFgIQunNRG8mWJWpBvNlbfmfbGYEO940tWPwMYqsUgQzHBqzN7117rYCIH9xxh4AxggceP/dBgn51XerAGopukiGNk73w3vOcx0/wxfcn+KSGRyYwo1HZH14HOyczWghYefxcn9kwBBS5yWR5T3dC0MNgRwI/XideCyABK/VJnlXwyVzfx/saXdVF+3FN22vREeqQTI9xcxxP5B7F7tKxwybZYnVx0yX4yeiPkLNdVv7w+VJDOD91oVj7htSQgA9qQH48erc4aVHYHtEiojth+jpBB61895X34MGJ+493109qvbkGQKiB3Lp1K/id487G/C9P88HfNYIP72eGTJ+KrJJZDUDE6WnS+YoPRVJMm+YHcOnSJB7YmcXDu3PQYyksXLsRkVQa8xbMR7q1VTQP2ewEyqUimhNxSQNXVUUACIeAQwcHUcoWpW+pRoaAwX/5LLIUoXsABBqUQBDBYEAeXM2983HRq16NZWvWSzaHZdpo6WhDuLkDVqmMzNAhYTtiqQSaO5lIHYYKFQE1IA8wagXyYyMYGeiHoimSfq7YzDMx4QTrUM0qrIqBYi4vYmcyHOGwjnooinowIrNp1JT0bX8GTj4HtWYhHKgjpmuIhDToARXBoDrJiLhCcffLdX0h1rCdmgtETFt0I7ZNbUjd1Y5QB0KGxKG2xEGhVMHAyJEsCLdD8RJnF702rNnIggjACASxeOV5uPGd78fwQB/u+sYXMT588AjHLLIYl159A5atuxCObR3+QAyFo4glmzAxMoif3f419O/aelh0ehiAhMJYdf4leM3/8yfo2/kMfnLbV5EdG3ajItnCFdSxZM352HzNjRjse06YkLGhgcMPZtZ9wfK12HTldQjH4rjjy5+ZfP1JPbtnzIv4POBM5ExajheAnOpj4kCLGoDpLmyH+ptbb5WchpdaOHj+X3/1V9NOpk8mEvKMOZmFTAMZMop+vQHmi21HPqypMVixQgbJBAR0piKD0JgWLi6AYkSiS7sVLXOpc2jr6JCk88b3Y84FGQ6xlf3VrwTUHO/CAS5dmTi4JVvhDV75PGdbHB2YOOMuQvIXaS+b+n5eaxpn5MmmELAwDJDfxdnPMA4Lt19qX8n2ELxwH4+WeM59Zb24Xf5MtzHauZOZ8NgAvgfZhFdceaW0ixEw8nh4zjyXMdaPwKy9vV1+T6exrc8842YuTU4GUVxOoMGwx1OxEMDw+MjC8Xqg3oRfHrggYO3o6JBrg/cX95G1K3OfJsGuuJD19IiDmgwQLffzgQv3lTX3QitPxT4fbRsMBOwJ94B6DE0JoOKUMGgMoq+8DxPWkeGtZEv4H6c+2LZFELKrtFPcq8TCX0ZOAEHN+sRG+TvvG7ZoHTIOYXdppzhl6WoIETWMy1uuFIBi120Rsh+sDmB/pf90Hapsd64AED5jaalL5oP3V6PAvLHVqhF4NAIR/syJZHa0THeZlQCksf2KNy0fcKR5STNNfdh1LVyM1nmLEG9uQe+CRUg0JWGYVeQ5m1xzkIxGpM2JN3xdVVGpVjAxMgEmg5MZYUJ5pVJCqVQQlxO2Oik1umPww4ZfKpRgAKsv3ozNr70e85ashFJTYZerCGqAHYlgdHAIA8/tQTGfR1tnl7RYNbW0QA/p0vbF2RayCtmxQxjq34NiZgIwDdRMC+Vqmb51ANN16xD2xbYMWEYFNKCp1lSokZgklROA7H32GUyw/7VaRUBxEAtpiEdCiEZ0RMJBhHQFQYIRjfSzIoGKAZVAhEg4AEXlTJAiYINfZdNEVVq1LBHAO45r78t2rZ39w6hQC9JwlTIAiw9ffgh7F7gHQqZ7MZ8rr+cNzRYsakC2/P47UCkV8OyvH0ZmdAhDB5h27yXxqoglklh/yZVYseFitHb2gA9yamn6dm7Fwz/+LkYG98O2nrcw5DFy++FIDBs3b8Flr7lJWrt2/O4RYUkO7tslr5F1onGsv+SVuPjK16KYz2L/7mdFT0K9yeJV69G7ZKW0bd17+9dkvxp1KOdKLU/1fpDVlFaTGbScLQDCEnGw51lyT6dkn/i7v5Me+BdbONHyqU9+Uvrhp7ukJ2fmp7ud0/16sg8cAJNpobsUr00OPMlgcADONh4OXo82SD/WvnmsAF2pCHI46I4nk8J6UENAZoTOXnxP1vx4FzIR1C6wBawxCf14X3+q1+PnBtkNulgxlI9gpjHF3WNCCPDIGpHVIHDicbNdjvQ8xwUEe1woqveXuVuB2Q5A+Gwh8GCYoNf2+GKtVlMBiAdOeIUQgNDZdLrLrAUgjeJzPrw5i8BZn8YHLmciupcuR6qjW5ypWjp7hGo2qiXkJ0aRjEUQ0iCWtYqmyWx/rlBAtWgIA0HhA9uuqtUyqtWKPODYv0tVd0BzgwjJpjR3duGqG9+E1RddimQr3Y9qqBYKKNMTXteFnTiwrw9jg0NIRRJYvHQJYq1pBBMhhBNRYQxCQQYwlZAbHsRQ3z5UJiZglkrI5TIiRFc40HccmR0R5qNmMRQdxaqNWiCEqmliZHAA/bu2Y2zvXtETUEHOOQtVYdoroOsBxGJhxPkV1hHRNfmdTvBBvYiqiLhT+gBVTWb9ADI0ddhsBWN7VpWAzES5aqFveAJDE6TEn4cg7IMmfedmogQOgxBvYD3dC/pceD3bI+gs9fq3/4VY6VIrY9sWjEoJj/3iLjx67w/dVimx9VQR0HXJhyFgjSaSYqdL0GJWGzJVCIAnBwsEN6s2bsLVb/pj6Dq3X5ft02r3wbu+jacevU/KwPeIxpNY87LNuPDyaxBPpl2QUa8LIHnqkfvw7K8fkp/lvmjslzsXCnmK94HHSPbjeGa1T/FbT2tzZxOAcLDGmdnpLp/+3OekX/7FFlrBfvMb35juW8mzhW1DM2EhyKAzFbUJFCvznuUgmjP6FF2T+TielqbGYxV3rlhMWq0I+rwWLM6yU9NCgT9F1yd6H3A/6fZEsT11Hl4Y39mqM9uRWDe2Wf3ygQcEWHmLx4CcrX3z33fmVWC2AhCyHJx83717t4xPed97Wo7GViuP5WiMSmiMTGicKF64cKGAkOkusxqAeOwHAQjV/Y05CyxcNJlC2/yFaO7pRWtHl9jW0r3CKBdRzI6hrTkpLAj7XTk4pPYhXyigVqetrSIuURz0FfM56d+3LJPZgFBIRgY0iH9MQMfK9efjws1XoGfhEujROAzLFh2JUSzDMG0JMhykle/wEFSbgsQwYi1pdMzrRXdvj9hBkqaNN8VFb5I5NITs0JBoCjJjQ6LtMAt5YWM4OKX2I56ICXjIlaoomg4qhoGJkWHs370D2QP7YFRIVTtQaIFFoETxPHhhEmQoiIQCiEV0RMMhJKIh+Tkc1MTCWGWvuQiTFAleFGSskalhKBHbtRRUzRpGsyX86undL8gFoYUbqfPZ2obF2sQSTVj/8iulNgR7Y0MHMbR/j7THncis49FucAIcitPXXHCp9IIzO4asx/DAPlTKxSN61t1ealWATfeCpUikmjE2PICRg/tlvwiuybjMdvDBOrLdQSYIZthyNgEIr9XccbYiHausvAb/7StfEdE1Jy1oLTp1eerJJ/H/fe5z0z4zfK9UMjmt/JFp78Qs3QBF11dceaUE6lE8fbZd5NjGxv0hQ0emiDoLH4DM0ovvDBzWbAMgHPfu3btXxr5su3oxZ6uj6Tw8kNIIPDwDGya2+wDkKBfl8bdfKWjq6kK6uwfNXd1oa++BHnVn6IxyAZVCBi0ppo3bCIdDAkDYTlQslUVIyLYks1JBIZuRMEKjXEYgSBcpdwDOJHIlGERTWyfWbHwZFi1bhda2DtQVFflSEROZLEYH6aQ1gOz4mNju0l2LQnCCgWAwJMBj0cJFWLRkCXrmz0dLVzttq2CWysiNjWJi9BDGDw1g79NPopAdE0aD+xmLJ9Da1opkMo5ssYTxQhmlclVE7oN9e5Eb3I9ysSC6A3Htmsz7EJ5ChM6ODFo11dWGhKVNS3dZkVAAIV1DSA8gzJl7xZI2M+aXcH0K2Nm2VYOGqlXDvY9tx+gErYGfZ0GmtmE1ovEz8Jzx32IOVoDXH9mP6YK/s1G6swlABLgVCifUAjS1Rpwt+8jHPibJ0F/8whfw0U98Qmb95XFTr+PnP/sZ7vjud094pv9o54LPEgIQfzn1FaBdMIMI6RJFUTcNSaYa2vMpPzXX6NTvicvu8nOR1rhsq3r80UdFQ+MDkNNR7bmxzdkCQPhMPXDggLRbUcs21dnKYz2OBToaxehe7ocHPLwrwQcgx7gnPADS6H7FGZuDk64X3ss40G/unYemzi4wFC7d0oFQLCEDFKOUh1HMIxbWpT0p3ZSCGgiKk1SlYiCeTMjMP613CR6KuRwc00IoHEKV2RlkFYIBxJpS6OpdgIXLVqG9oxepVDNqqGM0M4G+vn7sfGorhvt3SSsWH+SReByRVBMcRYVtOGAf86JFDH9agQWLlqC1pwt6Mga1VheQVMiMYrRvH5564EGMjw+DIhAmWwsAaW9DS0saOeaVZIvIF8soZLIYHxpEfngQebZuVUrStuXWzAsL4881mnkJkCIgUZQadE1BWA8IAImGdcQiZEUiCAUpdg8iFApCJ0OiUT9C17AAm7uwde8wntx+AJb9vHc4nUg4KOEHWiPdx3Mz9UKfG48+/yhPdwXY/0r9x0xczjYAmS4L8uotW/Cmt7xFZqg//Fd/JcJatrp6AIS2qifaDnS088hnB8XnfKb4y+yuAM813aaYfcJWNU/T4gOQ2X3eT+fRzQYAQsDx7LPPYmBg4LCz1dFE5i8GPjwHOu/71HEZn9U+AHkRANLofkUaiqIbUlCNH3KReALNvb1ItXcgkW5FItGMSCIhg+9KsQCzVBB7Wgqx29paoQYCKBXL4v6UiCdgGiYy46PIjY/DLJfdnJBgAEYd0EJhxNPNaGlvR2sHv3qQbu5ALJZCTdEwPD6GrU8+iV/f/yAq431wDEOCqiKJJKLxNBxVF2ep1vZ2LFyy2GVAehagq7fbBSDUbtQsOBS+79uHZ37xEA4cGkC1biAQDSGeTEl4VTqdQsm0kSlWkCEIYV5JZhzFiRFkx0ZQIetiu1oQl6BwXSykTu7/5Gdme1B/wNYrBjGSFYnoFKwHEYvqiMdd3UgsEnQZEhGxsyVLw0TBwE9/tR1V8/lAM1789JCORCJHAJDGC/50Pmj8bc+tCsxk9oNn6mwDEO4D21erxrG9/491RbHd6o/e9S7JM6TF1AAAIABJREFUsOBCR6cf3X33EVaqp+pqnE72x6naB387Z64CDBWkxoWmBQxfbBTq87PkVIDaM3c0/jud7QrMZABCsxAmmPf19Ulr5LGcrRp1HlOdrRodSb2J4KNNCPsA5EWuVIIPGTRPul/xoUQqqjE9lS9vamtHc08P4uk2xFLN0PUoIsmY2MVVCnmY5SLi0RD0YEDaBXhyyIBweyE9jNFDbvBfOZ8TnUg0EpFE8Fhbq4jOo4kUItEYmtNNSLY0I5FqRTiShuEoGJuYwL5dO/DYT3+G4tBzsOyqpJHTojGkhWE7AWiJFBavWYeFK1aKDqSzo1MCpdSwCoXBho4JrVqFMzyOia17sHX3TuwvHIIdhAAQsjQUNVLBkq9YyOWKyGeyKOUyMAoTGB8ZQimfgWMxq4M6AAYJuu1jwobUbbHylfYsSRagvkMQidumJcxIXUIayX5EIkEkYiGkE2G0JOPCHrEtixfwXQ8+i0KpeoQbFi3caMMo1pQaW7fImlCvcOyU+rP9gPLff2ZWgI4fnICYqcu5AEB46zPjgJMRx1p471IAzrwKpmczEfpoeg++ni08u3bufMGm+AHKpPCper2XOnd0CiSz6j8/XqpS/t/9CvgVOFoFZiIAoaaRGo89e/a8wNmqUWA+lfFodCA9GvBgfY71LPUByDHun6PpP0jvM/9j6uxIumcBmjq6RZwbb2qGqmtINaXgWKbbUuUYkosRC4fRnm6FHgyibFoomVUUKwbG9vQhPzoK2zagh4KIx+JIhuLoWL8OTe3tIsoOBgJoSjcjHIkjGI4jEIoDmo6KYWF4eBS//c1vcGj3szAyGTjM7jDL0AIKTL6uawEWrzgPPb0LJSiqa14X2ucthKPVoFaL0At5hPIVRHM20hkTv+3bgd9M7MGYU4AeDiKcjEMTUBQQF2GGFGbHR1EsUK+SQzGTk+Ok41fNsYX5Yf1cxyoCDrol8XfuTBK/H21RNYIWN3uCaxCQRPUAkvEomujgFQ1h78AIDo0d6YbV2dkp4VGeHa+vA/E/FE5XBUhLn6iT0Onal5PZ7rkAQLjffIZSD3K0hWLgS17+crHYZvia1zt8MsdLwPjQAw/gtm9/+7hfnojHZTLDX/wK+BXwK3AyFZhpAISmKg888ICEVHNpFI1PzfM4WstVI0vSCDZeahLHByAvAUAa9R8UntJ+1/MH50uDoTCauuYh1daJSDSBaDyGmlpHqjktrkCF7IRkabCtqCmRRDqeEG2F4dSQKRcxPDKGkT17Uc5kpC0pzKTYphS6e+djycb1EgKnShhcUMBHNJmGFooiGIpDDYREEL5//wD6+vYjnxmWEMLi2DCsch4KHNS0IFq6F6Jr3lK0tjOdvUM8l7vnLYKl2agVs6gPDiE8lEF7UcV8RNGvlvBwbi92jR1ApVqCHg1Dj8WhaCHYdl0CCglASoUMqkUmuFel1YwuXkxaP1wfogiSHAQfNBKWn58HHx7Ie/4UuO1bnsaca6o0/yIAk4R1F6Bki8YRdrx0weIxUQdCN6xG4dPJPDz81/gVOFoFyHwy+XwmL+cKAGENSe/T/nTVmjWgm938BQskW2I6gONY54YfrD+95x5J3n4x8wCyz3yO+ItfAb8CfgVOtgIzDYBwUo1j2127dh02WDka09Gos30xgflLAQ+vrj4AeREA4uV/cLaOX3QD4AdZ4wdYJJ5EvL0HqZY26OGoaBnsuoVmcWapo5jJwDIrSKeTaGlqRiwcgR6OwFZVjOWyGNg/gPE9+1AtFQR1puMpdLV1omf5MrQtnS+tSdRKhPi6SFzS1oORBNRgBHUEUMiX0LevD/39DJmriJi9UsrDMZiEakFRA0g3dyLR3IZkUxM6ujokO6OnewEczUF+/BAyO3dC6xvCfCeCRYlWOMs78JxWxq6h/Ti4v18sR/VIBJF4ShLM87msuGCV8xkUM8MSFkjtCt27mGFi0RFLjp7Cc5IfBBZst3AZEfnbJNNxRG+t9ztZYxKoyEvcGngdVablit29ha0aK1asOAxAvBtHtuK3YZ3sM9R/3ZQK8N6nD/pMXs4lAMJ783VveIMkeJ+p+3Tb1q247TvfkQyLxoVPG6/layafX3/f/Qr4FTj7FZhpAMSrGMe2bF0lEKEWhM9lTup6MQeNAOSlBObHcxZ8APISAMRjQIgQKUDnSWkc/CZb2hFpbkesqUVC4KhycOo2mJjK2fsS039tAy0tzWhtaUFID0GPRFELBDCRz2FgTz8ye/ahYpaF7ZiXbMfGruXoXrYEansMll5HPahA4+x+JAboMbH4ratBOI6CXLaA/n396Nu3Dxrfm1kMjo1azUJdckcUhENxhCIRxFNxtHe2Y/7CRWhv60RdcTA0uA/7n3kKlX0H0KGEMb+5HW0vPw9aTxty5RL6ntuDPTt3olo1RItCLqNYLKCYzaJayCE/PiiuXVa1AqNSkRwJWiq6rVRey9Wk1sMTpR8DgDB5XaQh/G/yZwERKo+C/0GYD2akuGu6C2+EtWvX+kL047nj/XVOqgK8/9l+NdOXcwmAeLW8/sYbsemSS04L83Gs83Xbt76F+++77zCgDE/qTWb6+fX336+AX4GzX4GZCkC8ynHCnUCEkgMy/wQejVlrU3W2JzuB5AOQ4wAgHgNCZwAvdt57Wfu8RdCTaQSjcajBoIjAOXpu72iHUq+LLS6BAd2vWlpaoOshBEJh1INBGeAP7d6HTP8BVKwKwnoEK1PzcHnXOixYtBh2UwC5qIWCXoOpa1D1CJRQDIoeQU0JolYjAMlj/74+DA4chCZMgWcbWQdUCuhtaGpQbG6TqRha21rQ2tUNpojbVhVDA/vQt2Mrxg70I1Cro6ulDYs3XYAFq1YjkWxCdnQM2598Gvv39Yu4nemBVaOKcr4AI19AKTcEu2oIA1KtlKUFi/WSMMLJdiqX7XAFpx54OxoDolIvIsCj7gbayU8EGIxqnPxbvQbbNl/gSrJs2TIRjvpC9LP/8J2Ne8DWq6nmEzPxOM9FAMIPrwsvugi//6Y3ndGSToyP4/P//M/IjI/7bVdntPL+m/kVmN0VmOkAxDs7nHhjAOH+/ftlcrtRcH4iWo9jnW0fgByjMlMdsNivTE/kqQL0+StWQ9FjqAd1KAEVpmEgqALptlZhICq5HIIK0N3TJSJy6j80PSQMSKlaxdBzezE+PgLbNNEcSGBNYh42tazAsgXLEGmNYp+SQV89j5KuIpxIQo8lYSsBEaDXawryuTwO9u/HxPgEDLMiCeIM72OQoRpUYdYcARvtzc1oTsUQj0WgRxOw6zYq2YyED44O9GFs+CCK1SK6W9uxfOMG9C5biY6uXmi0+t0/gJ1PPyP972bdRtU0UaWNcLGIcm4YtmnBLJVEA0IQwovWq58nRqcevRF8CLho+J2Akxobr9hrJRDkMGhhkKGrH+E6DmzHBTiNy/z588UlhwDE04H4Tliz+yF/po5utrAfrNe5CEC88zh/4ULc/I53gJquM7EUCwX819e/jr179pyJt/Pfw6+AX4E5UoHZAkC808XJNzIizMCbmoLurXMyLIgPQF4EgHgZIOLYks+LPVkjAAmGw+hZvFzAQE1RJwGIiSjdm1qbZBa/ms9DdRx093YjlW5COBIVrUhNCyBXLGK4vw9lswq1rqJbT2N9fAHOb1okOpCsbmB75RD223nYMR2pllbJBSH7YdfpJFODbTkCXsqlEky7CrNqye9qqEENBRBJxiWor7O1BalICAFNgVWrIV/IojQ+gcGB/RgfOIDcyCGUynm0NKWx+sKL0LNkGVq6uhGJxWCUKji4ew+GDh7EWGZC9rtaMWCXDVQrzC6poFosyJchAMSUBFsRo9dcNyzH66lSXIcslw2ZdOGd1H6ANRThujRhiaUv1yUzMvlreY3l1GA5rs7EW3wnrDnyZD8Lh8nQQYYPzoblXAYgrC8nD157/fW44MILRaB+OhbbsvDUk0/ih9//PqqVyul4C3+bfgX8CszhCsw2AOKdSlqacxxMQyYu023F8gHIUW6So1nwchBCKqoRgISiUfQsWgp1EoDUNBWWYSJUqyPalpZBdDWfQ80y0dndgVS6WfI8QpEo6moAmVwOB/v3IqBoiCWasLhrIS7oWYl1zfNRzBfwdO4gDlUmUA0CwWQMsWQS0VgCWlCHYdmwHFsuAGaJkBqj65ZlM2lDQYCuUWFdbCyTiSQCigJNrUFTFTj1GnLZCZRyWQwNHcLYwQPIDw2KeD0SiWLtpkvR0zsf6c4OCUHkoH+sbwCH+vswMHgQE7k8qlULjlWDplmoFEuo5KkJycMoFWFSD2KUpVaKAJAa7MlMlRe0YjElfXIdtnhRB+Lqz59v21IbyA4yH6bDNqwjAUh7ezt6enpESOoJpXwGZA5/ApyiQ+e1y4ftbAkiO9cBiHfamtJpvPXmm9HV1YWgrp+Ss8lJEab6kvXIZbOnZJv+RvwK+BXwKzC1ArMVgMjIjE6k2axootkVMx0xug9ApgFAYqkmdPbMhxoIwlE1OIoKzq5ploV4W1qm9yv8oHMcdBCANKeh62Ho1ICoKnKFIg4O7EdzOInuhYuw4rwNWLt6HTriafzu0cfx7Mh+1Gs2QpEwmLYeSyQQi8Ul6dxtQ6oRgop4nbOF1H/UoELTadmrI6wHodYV/kaAUQ0WVM29gAr5DCZGR5DL5zAxNITM4ABKhazs33kXXoJ5vb1Itrci2tqKUCSG/MEhHHxuDwYODmB4PINi2QAcBXpUlfR1m/qPYh7VYl5S0avlggjSHdsRsMAPf89VzAV4ntYDqDlu9odn1euiEJcdcX94HoGQVSLwsizmjTx/8th+1dvbK1kgnljKByD+B8N0KzCb2A/WYqYAEO4r799YLIaXbdqEV23ZctLZHGyhe/jBB/Grhx4Cs5xmC5ic7rXtv96vgF+B01OB2QxAvIrxOUpnSDIiDDH0skC8Z3fj92NV2QcgxwFA+AHGQtOGtzEDJJ5qQse8+eCo3mGjUCAA27RlQJ5sbRINA0XoCgFIZztS6bQABc7QsyWpWKlgfHwci7oXYunadVh50cuwcM0qIQB+fuePMDI+gqiuIx6JC3MSi8YQjkyyHWQUPC8oVYUaCCCo6VA0Mh8hhKJhhIJB1C0HlmELGKgxkZzWXHTnKuUxPDAgmo1CZhxjhw4ilxlHKBzFuvUXYn5vLxItaYRbmhFrakZ5IoeDO7Zj6NAgDo1NIJMjw1GHHlYkp6ROkGFUYZZLYilsVoqo5AswjSos/t6owLZM1ClOFzerGoifBGPUiNEc1JRJxOG1ZB0GGJ44nVjEgWlbME3rCADCJHS2mpEB8bNATs9Dda5tlQ9Hsh8vlhsx02oykwBIY235zOzu6ZGcEOaFdHR2orWtTZLSGxc+q0eY13TwIPb39+PQ4CCGhoZgzXD75Jl2nfn761dgLldgLgAQ7/zy85HaEDIitKlvDCX01vGT0E/gbmhswfIcsI4GQBLNLWjr6ZVBtFMHgsEQarYtTlnM3KAPb6lYQN0w0N7aikQ65VrFqgpMy0TZMOA4daxetwHL12/E8o0b0bFgAUrFIh6456fS0hSLRty2rVAEoZAubIenh5BDYtSGyrTxOnQ1CC0QRIDr0bZXD8rFYFCjUS6jbrktWxRa8N9DgwdcxqKQw8TYCCbGxxCOxLB6zTr0zpuPRDqJSFMSkeY2GBUbB599UoDKaCaHsXwVlaqJgMKWL5euqBGEWCZqhoGaWUE5k4MpzlhFlIURqaDuuC1ibMmqOS6I4v+RIbEnrXWZGyL0BxPRFR6bImDFY00IQCpV44iZTB+AnMAF7q96XBWg7oMMyGxaZioAmU3nwD8WvwJ+BWZ3BTwA4rWDe+5RZ7Irg9EE69atO2OF5uQP3bI4Uc9x81R9iAxXp+Sy+QzIUU7P0QAIMwDYP9zIgDS1tiHFwEFFhSN5FSr0oI5yoSh6DbZHlUoF2OUy2lpaEEsmEApTCK5KC5Xp2Eg3t2PpyjUi/F68di0Sra3IT2Tw218+AqNcEntItmCxD1oPBuWkMl+Dg37a/AoAmUQkejAELRCAxjakkC4ARNMCqJZKKBUKsA1TXLK4n8zsGB8dQj4zLi1TxXwGuUwWoVAYK1auRvf8+Yil4ggn4og2t8G26hh49mmMDPQjmy+hYNZgWDU41YowOgQMov0ol+DQjcuxYJUrcMwqyqWCfFkmgYkJx7JcUFF39SGst+StiHVvbTK40LW9cgEK15sMNkQdpm2jUK74AOSMPVrm3hvNRvaDZ7G1uVnswF13Ovfek++T0qsjveXm3nn3j9ivgF8BvwLTqQCHY2TOh0dHD+tR5wIA8WrmOWYxWd1zzGoEXo0gxAcgxwlAjsaAJJub0dTWIReZXa/DrjmI6BFxgWLwH9uhmItBAJBOJhGOue1TAiQ0FTVNQ+/8RVixbiNWX0TnqaUIhEIYHxrFtt/+DrZhQA/p0CMh6HpQ2A9PFyE0lzIJROQY6tACGtRgQFgQ6lKCelBakirlCgrZnLRhuexCXcBAsZBDZmxkUrNRQiGfly0RgHTOnyeAKRyPIZZuRa2uYnDnsxjp60OhWEEVAVhKAKpTEzBD9oNfDCRk+1W1nIdVKcO2DDimAatShVUtS0K7RecZsh6TNXNDC+uwbcdtdyGwmhwUueCDA6XJXwMiwM+VSj4Amc5T0n/ti1ZgNrIfLpZ37zXP4U9aHyeBiH9J+BXwK+BXwK/AqakAJ4v5NTU742Tsak9mj840AzJ1H6kLoXHTyMiI/OlojAh/v2DBAixatOhkDvGI1zz88MN4/PHHpS2X0RO0c2fHEaMZpPPnOBaCJ+WKK644qxNxUz+kj6UBIcvR0tUFlZoOWs06FDXUoWvM4AhOBhPSJaqASCiESCwsFBQLQi1IOJ7AwqUrcd6mi7Fk/QY0d/VAVTVkR8aw66lnxNUqGApCCzKFkl+6DBaYi6FpKjRe4G4DlNvHpAAqQYimCROiagEBIBSglwoEBWXphaYrl+04osvIToyjLKLxorAkluVgzZq1aJ8EINEYWZAUbKeGwT07Md63H6VCGYaqw9Ej0BQFNcsSQEOthyMMh4FyMYtKuQCHwMQwYJVKIlJ3jBLqJrUgNbEpZt1oGWxYBuq2IkyIiES9IEIOmLiOYBJ+r6NcNZDzGZDjuJ38VU6mArOV/WgEIB7r6BlDeH87mXr5r/Er4FfAr4Bfgecr0OgMdazwvtNdr7MNQLzPlEwmI0J1tjMfzTHLByBTroSjARDPdqyxBSuWSqG1u0tasGTMbNdkkB/RQ6gLGxEUy9tKoQBmeUcS1H+owlREYnE0d3bhvPMvwtpNF6Nr6VIRe6OmoDiewZ5nt6FWcwCNwYIqgtR26Exad9MouQ1N5VcjBKlDURX5u4T30VefQnTHFhakQoF4uQKL7lSTA326YZUIQEr8W0lYiFWr16C1twfxZBOi0ZjoSQzTxHDfXmQHBlAslGAoOhBNQQsqYlpFDQe3SzbErJbdbVZKMIwqVMcGqhWUcxOoFjKAZQidoUk7mAKn5qBqllGzlOfzQwSAUKjuOWQBtlMXx6xS1UC2WBIw4i2tra2YN2+e74J1up9qc2D7s5X98E5d4/Otkf3w3aHmwMXtH6JfAb8Cp70CHsvhsSCNA+/T/uaTb3AuABDvWD07ewrVmSXSWA+aB/kMSMNVcbw5IGxPomicbINopi0bxVweIf6bugg9IL3VDOpzqgYi8YiwGVw/3tSMBcuW46LNl2Pp+vVopoVsNA44NRFv9+9+DpbtukYFNA0h6jqCQRi27eo8NLZaaYfpPVcG4gq8XbqJLU22ABS2M7EtrFwqo0ImolKRtHK6RVGbIQnmBCcEC4qCxUsZQtiFeCotuSB8/3KlgtH9/cgPH5KMEgM6tGQLgrEgFIpQ2EJlWgLAysWSiO+r1TLK5RIU24JiVlHKjaMwNoS6ZQj4CDO1nHoY24BhlqE4iuwXrYzJ/qBOXYjbflVTyI7U5IstYNli+QgA4ueAnKnH2ux+n9nMfjQCkKlsyOw+q/7R+RXwK+BX4MxXYCrwOFPtVzzScwmANAIRitT7+/vFMYsLwceSJUumfXJmbQsWB/JHCyLUIxH0LFvmBmXVIRqLSr4IjXP3RATBABRVQ82yJRE9GGY7VVAYhdauLqzacD4uePllso1UZ6ckpBPElLJ5HNzfLxa2fG1gspWKwINMRECfDNsLBASUsD2LFzYH7QQhBBHsWTJNQyxyBRzYNqoVCsKL8sWTz8wMtmQZlZKwI3TmYs9cZ3c3Wjq7BYCEwmHZRqVUwPCBA8iPDAkAMRFEINmGeGtSwASF8cKCGKa8T4nvUy7Jd6tclpyQSjGD7MhB2EZV2tRioRB0FbDMMhyrDK0G2WdpE7Nt1GuOtIq5gnWIzobOWZlcEZlC+QgNiA9Apn3/+hsQe+rZ53x1tBPbyHb4zId/6fsV8CvgV+DUV6ARcJxJ8HGuAhCvwpxo7uvrE2Mndq4sXbp02sWfNQCElfB6o/mdxaI4Zfv27UckoVNrsfC882SQzoFxlcxCpQq1RkG6hTrTxzUdWl1FKTuBmlqXdPJoIonuRUuw4ZJLsfb8i0RvkWzrQFAPwTZNFHM5DB4cELF23STjoSHIfAstCIPCdD0sIvYAheZ0uyLQEYbAkUE7W6LYdkVdhhj0ShigLa8lICgwsdwwJDdELIGNioASx7GQbE4j3dKMto4eRFNpEbSTsajkMjg0cBDZkUNiE2zWg1CiabT2tCOZaBKmxjRMCQhkzbhNhn6RBamWqgJwygQgY4MwymUE6goiAQ0hugI7BpSagXqlJO1bLgDhsdTcliyeD7Z5SV0dHBrJIF+uHgFAeBEzjNALIjyW4GnaV7m/gVlbgbnAfrwUGJm1J9c/ML8CfgX8CpzhCpxp0NF4eOciAzK1/GzH4lg0nU5P+8zMKgDS6BTjZYFs27ZNgEjjsuyCC6HpIdFrOIYls/tsWTLo9iReyEGEtCBK2ayAEj0aBvNDFq5YhQ0v34zla85Dc08PYjLY14XxIBg4ODSAWtWEYjE8UJN084CqwTAthHSmnivSiqXrIdcdi1a2NZcBUcCBuwXbrEoLFkGNVTWF9ShXSsjmsqhU3DaoaJgi9ao4YjG3pLm9DU0trWhp6xTxeU1V4VRLKI+PYXjwEHLjw6LrMGsBWFoczW3tcvHEYlHRnch7lMsChmybbEgZVcOCYVioVqg1yUqN7KqBGl25qhUoZhGwy4A4Z7E9zJxswaq7DIg4ZkGyQ1jTfQdHRIjemIROBM0sEAr8z4bl3bTvHn8DZ70Cc4X9OOuF9nfAr4BfAb8CfgVOawVmAgA5lQWY9QDkueeek1n9xpaFBavXIdacliBAzv7bVhX0pqIdrVU1JOVbgwqjVATd9vV4FKm2DixetQYXXLoZC5avQXN7OyLJlKSZE+xQMJ4dG0O1UJSsD5fpCEFVFVSrFQEfdMuiMD0YCot1L1kCp1qVtHH2g6lKXVgQ6ilEA2IYMKpVlCtl5HJZFIsFaRtLxuOyTqlcEqalrb0dTek0ki0dCEVjomGhnS61G6MD+1HIZVC1ajCUACw1hJAeQaopjVRTE0LhiAjyLSaVG1XQ34otVWbFgFk1YNl0yuJXBWa5DLNUglXKo1YpAEYFSmkEjsmEdVsCCylAd+zJfBBujc5djo2tew7CtOwjrt01a9aI/Rp1LT4AOZW39dzY1lxlP+bG2fWP0q+AXwG/AnOrAj4AmaE2vLxMPQaE7UQeA0LhzMTEhJtVMbl0LVmO1t75UDRFBt4czNc5UGYGBu1mmfZt2dKaRZtcPRZFU2cXlq5bjwsvvQw9i5ajqaUFkXgcYJ6I7cCoGqjk8yjlC/J6AhDa9moBRRgFvj+ZjWBAhx6OQAuHxSbXqbjtSxz4S+B5rSbi8QBBhFEVqostUfl8HtlsRgx8U8mUDOwpQKeWhW5S8UQC8aYW0aRwYY5HYXwIA8/tQj6XBYIh1PUYyjbhiYp4IolEMolonEGLEWkPEyF53ZH9IfsiAMg0ZP8NtlmxPpUSnHIedjEHq1SAWh5Dzaqi5hCAONLWJsflphDCqdkolat4Zs+gMCPeQtCxevVqCW1sBCD8+9mkQOfW425mH63Pfszs8+fvvV8BvwJ+BfwKPF+BVatWYcOGDXOmJLOOATmc0C3tRDaGhobgpTt6Z7WlZz4WrD4PSkAVDQQ1GNQtGOWim4FB8TdbkgxDtBmBcBgtvfOwcuMFOP/Sy9DRswCpdBrhWAyKFpAZfwq5zUpFtBZ8vaYGpLUoENRckbZlitsVW6844A+EwjCY7TEJepivQbaE+g+yHqhxmwZMggCjgmIxL6J6MikEIERG1Lkw9DCZSokQPZ5ommwtIwthoJQZw+C+5zAxPg4lGIIeb4KtMZdEkdyRCMNfEkkBL0xTF5ZIYeAhwYcFkw5ZFdeel85b3Nd6pYBaKQenkIFTLsI2cqg5Jj19UbdtAUbSyjWZ/8FaDGfy2L1/RICJtzB0hi4KBCBiUaxph4NnfAAyZ54/J32gp5L9aGtpkaRxf/Er4FfAr4BfgdNTAQZDj3IsQsMdfzlqBegutWnTpjlTnVkJQLzEYA7QGahC5X5jFkgkkcLay66EwvYptgVxwMxgvmoFjm3CMCsoFvIAtRxODUpAR8fCRVhz0Sasu+hitHV0I5FsEgBCRyvmXBAsOKYlLlLUdbCli05YBCC2Y7vtTU5NNCAEIBSvl82qMCAEGcKQaEzhpBuW49ruEoCQgRBr3IJY8nKgnkgkxdKXi8u06DKQj8USUBQNhoQMVmGW88gMH8LY6CiKVQNqyE1ID+pR0WUwdZ06EIKQWDQmuhWCJtrmsi4EINSOUGvC4EOLoYSFDGr5CdQLGSgUwjtlATt12vY6tOK1BfhJyCOdvCwbzw2M4uBI1mVFJhcO+ObPny+hix4A8ezv5szd5x/7bB7zAAAgAElEQVToSVfgVLIfK5cvx8ply056X072hX/9N3+DWCx2mJ2lDovA/KabbsI3v/nNk/qg/uAHP4hPf/rT+P73v4/XvOY1cj/fdddduOaaa052N+V1vDff974PCFvJ+/h//9M/4ZYPfmBa2/Rf7FfAr8DcqcD2XbuwfefOI55rPhg58vzTlOfVr371nLko7r77buzcuVNa8ZmCzs+/GZmEzjN2tCwQghAK0T3/Yu/Mrn/VtYilm2Xwa5QqMuBHjQPuCoqlgtjcao4DxWbmdwDdS5Zh3SWXYDnzP1o6EUvEEYlFxd2KvIWACNsRwbvDdqo6oCmapJzX2dYkblOWvL24PulBVC0TVrkor+W+82YkAAlqqrhzsR1MNCDlAkpsebIYaKgiHk/JCaPbFUXkfC1PWjgYksFBleCDdr6wkBsbRSGXx+DwGEZzRejRBOYvWioDf4pdqCHhtuJeK5YacAXzqiagjcdDZ65qpYhyLgMrO45abgJObgJmIYNqvQrbrIjrFmwTqNkCbsT9isyQZePxbX0oiAPW8/cVkX5zc7PLEjEBnuGMinJSg645c7f6ByoVIFgfGRk5oq1yOqU5WwDkE7feKtc9n0G813j9e1o1/v5krXa5Lb6edeL95bntTadG3EfbdoNGg6oCo1bDxz704els0n+tXwG/AnOoAtt27sS2HTuOCLTzJjfmUBle9FD5rOYEFJ+3c2H54he/KGNMD4AQhHAynZ9bbjbeSy98vXLFFVc0DC9f+kWna42jOWExUp4aisYP9MUbXoZ5q9cJC1DKFQ/rPgqFLIqlvATq1QkQKiYCwTB6li7DqgsuwKJVK9Ha2olINIZQJAI9FIaqaNJ2xaViTrIZCtkMFWBbFe122dZkGsII8Pe04bUcE2apAMembsJtXaIblswK0CHLsmBWK6gw86NSFD0ImY9kKo1EIiVuWp7eRbQUdL+yHZi2JeJxBguC4nK2UpkO8hUDE3kyNBDdSDKVkDwSXuyciQ0G6M5F3UoQQUlmB0zaGZsGKkZZnLDqRkVasIyJERQzo1BKOZhsyzIqAkDIgFD3wWNiAny+VMEjW/ceIUDn8VH/4QvQT9ddMLu3y1ZEMiCnajlbAOTvPvnJaR2CN0Hw1re+FXfeeac8C2644QZcdtlleM973iPAnhMv/O7NNIrtd+NMwAnsAS3Nq399K85bswbhT3wIZFv8xa+AXwG/AsdTgWe2b8e27dtl/NM44eizIM9Xj8/miy+++JSE/B3POTmb61Ae8bWvfU0m5Dn+9BgQTxc8owFIoxD90KFDogVpFKK3L1iM1ZdeATUQhG3a8iFdzORQzOfgOKYIwou5LIxyFanmVvQuWoIFK5ajd/FitHd0IxqPIxyJIBDURY/BTA0WzBJbXeIO9yarKy6zwXwMa5JNkHU1RQbqVqkoLUvCGjhuHgfV2zXqQ0wTtuOK5E3TFaSzfau5uXWy3YqJ5LYMKHgS3SRy/q8uiezUb9iGKS5XwVAUCIZRZptYpYpgQJPWLWaKcCGIIosSoFidG2GaOTM9GBevqPLexUJWHLCUahEK7XnzWdRyYzDYmmWWAWnBclAjAHHqEsDYPzQuDliNAnRebLTgJQvjC9DP5iNg5r0374/h4eGTHkQf7YhnKgDxgMTnP/95ARyPPfYYFixYILXhz/fffz8++9nP4iMf+Qi2bNmCz33uc7jjjjuOYFqO9wrYv38/Vq5cCT0QxI03/T6+8qUv4yMf8gHI8dbPX8+vwFyvwDPbtmHrtm3y/PE0nx4Qmeu18Y7fG8tde+21Mh6brQvHrQQf4+PjMg70AAi/e7rgGQtAPBZEtAiOc9REdAKHS97wZoTjSRF2kyWYGB0XpkIPqqjXbIyPjYHj75b2TnT09qJrXi+6581De0cXogkCkJhoMFzqhzdVgA6+bJiWFiZFVVBXJl2dxFa3Kja/4hgFOnVZcGhvy99P7qtoVSTFPA+jWhEQQEhBZqNWryMWTyCdbhXRODM2+HfRmgQCsl2uQ9ZFtsHAmKohIIm6l2AkDruuwLS4D464cgnTIgnmddlfumpRp+K9p2VaUkO6aplMYy9kYOfGYefHYBWyqFsV2EYZNZv2xW69vUBI5p88+sxzGBrPij2vt3gJ6I0BhP6DaLY+ak7tcZ1q9oN7d7YAyN/+4z+ekuJ47VaNLVzcsNfadUrepGEj3ozlLT4DcqpL62/Pr8CsrcBTW7cKAPHaTqcyIbP2wE/gwLyxK0OaL7/88hN45cxa9aGHHsIvf/lLGbcScFD7wS92xXi64ONlxs65FqypdrxsQ6DQpUKdR8Oy7vIt6F2+GoqqYnxsAsVCCZFQCNFQEJVSARPZDCLxJOLJJjQ1p9HR1SkR9C0t7YjEYyJC14JBYQgIODSNYESBIq5OKhSNDIjLMNBelwDEplid7IbtakJq1GsQgDCPZFLATSBRLOZQoaNWjY5adIgiYxEWABJPpKDSfcuhcxaDCcMyq8BgReaW8Hi4VEplmKYt2SDhWBIBWvQSJDl8f5sZhtJ6xp8JSGhJLAnuelC2T9AgVrziCMYAwhLM3DiqY4dQHR+EwzyQOh3ETCg1tqDVhMWh2xVxUL5Qwr2Pb0WlypyT55dly5YhlUr5AYQz65lx1vf2dLAfZxOA/MNnPg0VCuzxAvrv+QnmvfpK6O3NYv3NxWM4jvdBfKZP0Aff+94z/Zb++/kV8CswQytAAPL01q2HTWf87K8XnkhPx8wx2ebNm2dlK9bAwAD+8z//U64DTkKLg2s8LixIowD9eD/3zikA4n1we7PwXh7IgQMHQBu4xjasjoVLseFV18ByHIyP0h5OQzrVBD2gYnx8VLQPqZY2aEEdsXgcXZ0dmNfbiyauEwkjRN0Ewwa1ANQAmYMgSHnQ4pbic2ZreGCAVAqF6HaV4nI3fJDic/6b1r8SBCjuVWy9MlCuFN12MMtCMBAQzUk8mUQoFEFADwEUuLO1StcRjUTcDBRplyL7QgFqXfJEmPkRjacQZNYH9R26jjq1J6YlCexkUAhChOUQBqUmTAhZE9aDYMksM4SwALtcgJEdRXVsEGbmEFAhS2PI/tM+mF90AGM9Sdzs6juIJ3f0iRbEW4huV6xYcUT+hyc+P94LboY+f/3dnmYFTgf7cTYByCc//RkUtu1GdGwC23f/EG31VUhedBHC5y3Dbbfdhh/84Ae48cYb8fWvfx3JJJ3vNLz5zW/G1VdfPc1KntzLb775Zrzzne8UjQkXH4CcXB39V/kVmIsV8AHI8Z11L0qCY1eGNZ9//vnCFMyG5Ve/+pUwHzxGj/0g60HwMZX9ON7x4DkJQBrF6GQamIZOMTpPqrcQKFz0hrfBrtclwyKWoLg7DssyMDIyBD0SQSSRRDgaR3O6BR3tbWhtTiOsc4AeRCQWl3W0YBhqMCyDey4BsdMlANEmHZ4C0tJlUwxeKkqqOAFJtVxChWnrFIYyPJGC70oZjmNJ9kYpnxfhN1FiMp1GLJmYdEfgtoNi5UtWhKhR2qik+0sVe2ECFDIPgYCOaCzu2gV7f9fUScAxCTrInEy2cwkoIZARFkUVG2K2pVWKeRhsC8tOoDI6BGtiAJo5IenoEqQ42SrG4zeFTbFx3+PPYngs67aFTS4dHR3o7u52ncAm3a+8Xr/jveBmw43oH8OJVeB0sR9nFYB85lNATcVbb/g9JCuH8HBfAc9s3wuovFPZHimdndKuqQhfefhXkz9Mrgc+0wKTq3tW11yffCg5lsnVJ7fH37vbcv/WuMgq3npT31/+7b4nf/yQz4Cc2EXsr+1XYA5XwAMgYsITCBzWgfjul1OewRyPsjWe4yjLkoE527E4bpqpC7UeNEqhFts7/x774TEfje5XJzIWPGcBSCOSJPDYsWOHtGE1usAsvfDlmL/mfAQDQUQSccnCYAZINp9DqqkJqeY2tLS3Id3UhAjtwTQVQdUVfYciUUk1D8hXdFKQPglAOLg+HLAXAMSWlgP5giSuq2LNa8i/CTwIIDiQp30uL7xyuYhyoSAMRDgcQaqlGZEwBeLEBgFhW+iCRS0IrXsJWogBKKoPhsOuuN7musz2CAFsB5sciJCZcequ5afLFDnCgsh3WanmDnccN8eDbVamURIAYlKYPzEMY+IAnOII7DLT42lBzDYut/XKdGyMZQr4+WPPgDqQxoXsB90OaLPmU7Az9XFy5vf7dLEfZxOAlJrasX6+iYcPJPCd//gW5rWGUBwdwJa/uR0fXvtr/O0zF8GoBxG590/gXPkF5JSYFP4Lmw/iuj98Dzrf/V20WFncFPgqPvSfGSx+4y3QAgpsLQSlXsOnryyiM1LC237QgWt6CrjvX94M5YYfwFDCCMDB6zsP4JH/+ijuuX8PvvEv78c/j70esVoBX7luEP/jxy0Yr7cKtNEVFV99dT/ed3cQlqJh1dB/4IkF78fyJ75w5i8E/x39CvgVmJEV8AHI8Z+2qRPolBFwopkmI/zudfKcrKPh8e/J9NakeREn/pnH58ZMuOBTxs+hkByLREhMWu9yTHiigPScAyAyu3d4cO1qHPjFRHQ66DS2YYUiMbziprcjmkhC1XXYNUccm3Q9gqbmZqRaWqT1KRqhzS0kcI/gQWbwQzr0UAyhWFy+NI1tS3W3x1FasFyUL6xEnWHhlgT6VUslqHBQt8mC5AWIUOzNk+WmpluSnG7S3xh1hCNRxBJkP1zQwO1R/M4TGArqMkPqOmhBWBh9EoDUEXBnTvn+iiaC+MMaETpzcetieFV3GYzJ9HL+UuW/HVr6EoDYsKyqJMVbuSzMzDDMiQFYhSE45ZLr1iVidVsS0Fm/X/52B/oHR48IH+SFtnz58iPcr/z2q+nd4HPh1aeT/TibAOS112/C29/5tzDrFhIhBZpTxOIP3w0n2YtPRD+PT5VuRrWewHlPvxs7et+D5ngIC8fvwh9e/0q8872fQOVNtyOMEt6j3Yp3/1sB3X/0BZe9UOljZ+MLFw+gM1LAm+5fh9e1DePpL9+Igdc/BDi0B9dwbei3OHjPR/G9e/bhut9bgt2vuA0ptYyvvuox/M+7ejEUXQdHrUOr1/CdK36BP/5eD7qbwxi9420ovOFhLHnwY3Ph8vOP0a+AX4FTUAEfgBx/ET1g4bbGO4fHsBx3EoxwjOgZ/njrnotgxGMyPOczjoc5+cyxK0GHjGFDjH9w8+BOFHywomcUgGhaHe3tBoLBGgxDRSajw7KeDyzxun3cgXoN4bCFV796GBMTKu68Mypi9KmhhMvP34Tl518ELRKR1iayGkwVj0SjiCQSiDK5PKgRfaBmW5JUzgtBksNDbNNKIBJLyIc6h/Xi7sA2LGpB1Oc9+GsOW7DK0rakTrZBMOeD4nSCDYYOEoSIOxbzNBxbHLrIcoREaE5Gww3skwR03bWxDYfyiIcGUaomYNfTcNSEqxFRg6gL00EtCl256JBlYmHbw0jHBvDEvne4vRm07q0zr6Quqe7UgbBljIEhwpAIFWjArJZhlwqwsmOwMkPCgDhGSXQq1HnId8fBRK6Anz/y1AvYDyafM3+EtWtMP+dFdCKU2/Hfxv6as6ECp5P9OJsA5Fs/uAthXYVpA3rQglnKotp+GR65/X2499sfx7f2bUBsy4fxFvN/42e7OrF0/Uasie3EH//lV9DTXkDXnz2EW1bei3BmF97ysd8i1daF5jfeirpSQ11R8S+bd6I9UsO7ftSLqxY5+O5HN6P+rq3iVpfS6/iTjvvx2Y+/Fzv3AksXK0j90a8QUW18/rJf45Yfx7E3eQk0aJw5wVc3/xhv+zcVW16xDo//603AGx9Dxy8+OhsuL/8Y/Ar4FTgDFfAByIkV2ROke3pmjv04WPcAiOfy6q13Yls/c2t7zEcj+8ExoPc1tR3vRPfsjAKQSMTBtdcewoIFZXzpS4uQywWPub+67uCSS0bxrnf14ZFHUviHf+gFFfijo6NHsCAEHK943U2IpdOIxhLiNBXUXbG3Hg4hHNKlV5qOVByYExRQU8Ffch1qQcikkGngYJ4DeQq5XR0IAYi7ixzIm5WKBBLSFYtuuXS/4r8FiFQrMNiCRQBCXYa4XBFs0GZXF1lGkOJwdnwH3RPI7S/o3obzV9yNR56+DoPjy6Fo1IAQUBCsMFGZAE2BFrDQ1bIbV278d9hOEN+491PPO+2wH5y7L4i7JhklBCKqw/2ms5UprWJWpSz2u3ZmFE5pHHDK0j7GL9NybXgffXIbDkxhP4h2yX54Hs9++9WJ3mZzc/3TzX6cTQDyg3vuwJoL5+GZx0dgMa5HATZdsgG/fmYPfvyvN+BPbvkm0n/5KN5q/hNuu/1hXPmW92PzWg2Xvfaj+Jt3b8LP5n0cnzr/MZT3P4u33vo7zN90He66+x78+Qc+jPdevAtqciHSwQoef+gB7FYvwF2ffxu2bUvgvH9+DP13fBIX2D9DNGzhZw+NYX63hUXveQJxVPH3lz2J931HR6Z3i7Afak3F/9l0D173d3vwZ394He7/9z9A9XUPInXPLXPzovSP2q+AX4ETroAPQE64ZIfHZ/wcpHMoB/NkPzzw4QXLnovsh3e0UwEIx7Me43Eq8mDOKACJRh3ceOMALrtsFLfcsg4jI6FjntWFC4v4+Me3oaurivvvb8YttywSuuZoLMiKDRdg2XkbkWxqERBCDQXzMHQ9KHkZbGqQNiXFVe+T3SDaoEMWW6QoBhcygRSMsC+u/kLWk2Rzl02QViWLLErNzeBgyxcvKLZesRXLqAjz4YrBXfE23a5o7cvUcj0YFFChykl0AciSBTvw2sv/Cz/95Ruwfe8GFwiJiFyZFK+SlwFS8XFs2XQ7li94EvlSGl/45q0iEOd/cpEQJEnr2qQ43akLUKKYxKkz4ZxMiAmnVIJTzAgQUWtVt/WKGhbLQiabw4NPPC0uW40LBVSdnZ2HLzzPA5zr+OzHiT+Y5sorstksyuXyaT3cs5UDkq1M4Laf/g7zLtyM733mT3D55htw6TtvRefGS3HNxN/jk//xc/S893G8Q/8iPvLBz+Lb3/y/0KIRbLnybfj5L76E93wlh7//wzDUcga3/OOP8KG//TS++bSNf/nAzdj24Megh5uR0sr41m234+5dcQw98u/Y39+BS/7P43jw02/DLden8auHH8Svn6piXm8Naz74W2hmBR/f9DRu/YmOodYtCCh16E4V//Cyn+Itnx3Fn71xM+77+p8hf83PEbvrQ6f1vPgb9yvgV2D2VMAHICd/LjnmbG5uljGk13rVCD7OdQDSCEK8HJhGvcd0xoBnFIDEYjZuumlA2qo+8IH1OHQo/IKzqqp1kCm5+eY+YUsikRruu68FH/nIEhkoH5UFCYWw+err0NbVg1A0IpkebqHIIEwO0NlaFSAQIAhw35YghW5UXiChC0DEb8ptxSIQECcb/rqGGgMFHUuYBjIczqQInMnnZEIIQigoJ/PhLm7LlYQEBt19ckMO2eLFvrkgVizdjTde+y3c9YvX4nfPugBEmA9ReXD9OjTVxvqVv8OWzT9BMp5DJteMT/7bR1z9h6s8d91yxIGBrlhsx3JQt2wo3Fc4oo+RsEPLRK1SlFT0ul1F3QMgtoVHf7sVI2MTRwQP8uZhirIkrfvuFyf/FJpjrySgJVt5upfjASDhsIklSw/gvA278It7L8LoSBq12vOtny6QriMQtLFiZR/WrN2D9o4JGFUdB/Z34umnlmN4qAW2zYkLd/kff3odrnrt/8SGt3wYi41HELngT/Gf/+v30fnKm/G+ywzc9v17sOs5G9/9zp9h85v/AX/xd9/C2y8cxYWv/CB++t9/iQ99+Dbc+pk3YtdvdiHQ3IIHR9bixvVV/GD/cnzokgOwgwkkAxXc86Mf4//evRva2OPYvjuFK7/wGB799z/Hqzr2oloewX0P5bB+dQDL/vwRqLBxy8uewC13NqPSdZm0isZqBv76wntw0/t/gU99/N343Mf/AIm3Pgb88K9P+tQ0pdNYuGiRsLh8rnlOhflcTuzIOTnD50VLWxvGRkZEv0eW1V/8CsymCoTVMJZEl+K85Ab8YvxejJojrp3+NBZOO2qKJttdm1iPrlAX7LqFg9WDeLrwFA5WD8Cu2zI9KSMMRUMqkMKCyEJ0hP5/9q4CPIrr+564uxInIQR3dylevBR3dy8uxSVYcZfiwYu7hCDBIQSLAXHXTTb2/87bTLpJKaHQUv795fHlA7KzM2/uzM7e884591rDTNNMzCEmPQaRaeHwl/khLj3uC2akeGshAPn8EJqYmAj1iLIsK7/06lsEIcoeEHGv5VgI/k7v71cFIGRAOnd+h1atQjBuXAW8e6erqNykNDQ1s1C6dDyGDfODsXE69PUzcOuWCaZOLSbQ45+xIA7OxVCpVl3o6hsIzwTJC8n0LQJGT4eauqiYpUg4aPug4VxdbK8YZEpyeqOTVeBGOWhF3DAiif/9R7AdZBzIgggzeppoSKhJqZW4WIpeIgrgo5BzkRERIEMAJHWULumPPj8exbGz38HrfgVAeD5+T47U1bJhYhSL1k0vwNUpCGpqGUhM1sfPy0cpZixAkwQ+CEBy+oMQnLC8bybL7FJmpQBOwh/CRoppycjKMUMxOXgbHIqnvq/zlDrm/sl+sPxuYendz38A/S++MyYmRnxW/+lREABRVc2CuUUcmrfyhKVlDI4c+g6B/jZ5AAjBh4FBCipX9UHJ0v6iH1BoqDlMTBNgYRGLsFBzAVwIRqQxZmJH1KzfH5rIQlE3RyREpyAlJR61q1eGmVkYqlWqjt3PnLBpVHHUbT8a4+ZtROtSkajXYAQe3N6OBs0nYMPaXjjocRpFi5fH6wg9dGpTChff2GNg1Qhka+lCVzUFb3x9sOWyDImv9uPmbTW0XnMTt3+dgtJZ96GvE4XLN9PhZJOMWlPuIj1LGxMrXsOqhxUQq+KCLHUVWCc8wZDabxEamQXP+7fx+M4NGHb0QvKhiZ99aWrXqwcnZ+ecyn9yscgifaFKRUP4vOCzMsDfHy+eP88jm/3sAxe+sTAC30gE+D1urmGB5hatYKlliSNhhxAo8/8gABFaBhVVmGqYQldNH3pqegiUBUCWqWCHudgochKoQEdNB+UNK6KcQQVoqGggJC0YBuoGsNK0RlxGHC5GnYN/ip/Yn6aKFlz1XMX26irqYp/haeGi8qWxhgkqGVWBZ8x1PE18/MVRKwQgnxdCJu3Mn6Rk/v8D8FA+U2V248/+/XmRUbzrqwIQMiAEIO3bB2PChPJ4/VofWVl5q9mbmMjFNtWqxeDUqSLo1y8AXl6mmDXLFWpq6bCxScb9+zFITIxA/fpZcHYGwsOBGzcAS4cGsLCyg6Ym6+rTsU/2Q03wAwYGGcI8nSzTg7p6Okq6hsDGOg4375ZDqlwhBZNYBIGKhA9DAUB+ZxcUjf9E1/IMGrzTBQAR/gq5XMEwZGYJ7wmZjlwvhxrBBpsP5uxP8nioqqJ8mbcY2v8Mjpysics3yiMri+9TPIx4fE3NDFQs8xrNG3vj+Ut7VK34GmlyDUyd1xvqapmwsoxFTJyBAE5O9uFwsItARoYKXr2xwrv3JkhPI3OThqz0TKhBjqwMRY1qLa0UaKilITaWPUdkSE59hPIV0nDwYDaiohQ3h+T9oHmqkP34ko/Z/9Z7abRj49CvMQoCIJqa6ahR6wkaN7mD1DRNHNjTHIEBvwMQgg8trXSUr/gSDRp549kTV9y9XQYpKdrQ05ehTfursLWNwI3rFXH5QvXcU+o35Dv8PG85Xr2IQWxsAtRcGqKasxz2eu9RrURNlK1ZAjvPJWBqv+KYv2glSrSYgfrFQ9C8w0Kc3j4clx+roUqpGGzddhzWRR1w6qQ/1m0YhTvBpbBiZDuo66ng2qnZuHzWE4/CzBDnfxInr2Siz9qLuHFgESprP4aJfioOnHiJkvaamPfLaqw6/AbL+lth9Lp4hEYmomqXCdCWJ2NE+RsIjc7GzfvX4XXlDIr2eYywvZM++/K0bNNGaJpf+PoiPCws99kg0fJ8flIOmpiQgNiYGMGQFI7CCPyXIqCpqokaxrXQ2LwJUjPTcCB0jwAAH2JACBZMNEzR1Lw5YtKjBVj3iruJpIzEPCHRUiWgcEMLi1bwS3kDr1hPsQ1ByXfmzVBczw2PEx7hWPhhqKtoCJbkO/OmYp8Xos4hKSMJaVmsvqkCCy1L9LTtgxsx13An7tYXh74QgHxeCNm2gD8FjW+RARE5sSQXKugEPvP1rwpADA3T0a3bW7RtG4KffioHHx/DXACi8F1ko1SpBIwY8QZ375rC29sUixc/wZUr5liwwBUWFikYNiwQO3aYo1YtfzRsmAEfH8DCgkgKmDZdC0ZmtWFppYfkFF2UKhmDsHBjJCaxCpXCW0F1lK6OHJ07PoKdTRw27qiP6Gg99OnuhXuPnPDsuY1Cc5UzLC0S0bHtAxw4XBUxsbrC/yEASFYmnJ0i0KCuPxzsY0VVr8xMQEc7Ey9fm+HYiZJITMoBNsJPomgcloe+UlFBjWpvMWLwdXgcrYQzF0ojM1MBmDjUKEfTlWNov2tIT1fDpatuGNjXE2lpGhg/rT2MDGXo3e0OfjtTDq4u4WjS6IU4F+InY6MUHDleCt7eNsjOTEd6WjaKu0YiKkILUVEaCi1iZpZgbF69eYamTWPR6cdsjBoFvHgBLF0KxMRY4uJFeyFpkwxHJiaZaNMmBM+eGePpUyNkZv4OIG1sZGjcOAIVKsQpeorIVaGtnYmICG3s2OGEsLA/Su4+874tfNs3HAFKr75W0lkQAHF1C0Kdug8F42FskgCP/c0QFmqWy4CoqmWhTNk3qNfgPp4/c8G9u6WRnKwjKstpaCiAyfdtr8PXxxn7drfIjXqP/vWQlRaMDt2XIDtTCwd3z0RqQjymzvwJP3YajKGDmqBm4/H4vnMd2JrZw7H893A2fomBA35Gkxp2CE20Q+JD6eEAACAASURBVLeujpg7zwNNWtfC1k3eWLtpAB68ssbWRTMh187CnVPz4fP8Hu4FF8Xtk3Ph81wfqrblYetkjS6VNYCsN/hl0y18V80GfcaMw8ajfpjf1xkDBi+HqoUzug3+Gekh79CsdiYi4lPh7XMfFw8fhW3tSYh/8vSz76A2HToIiZX37dsICgrKbYio/GWVK1tlk9T8NPdnH7nwjYUR+DYiQKBQx6QuspAFY3UTeITuR5g89IMAhGxEfdOGiEuPRVhaGIrru+Fq9GUkZiTkOZkS+qUESHmT8hq3Ym8iISNesCNkQtz0SqK99Q8ITn2PLe82wFjDGJ2LdMf71Le4EXMdKZnJyMzOFNuTDeG+fizSFWciT4p9fekoBCB/PYJ8HpL9kJo1//U9/Pff8VUBCNmNHj3eokWLUOEB8fU1yAUgBB9GRulo1y4E9etHYtUqV6irZ2Hu3Ge4cMEKS5YUQ9mycRg+PABPn+pCWzsFK1akwNc3C2wyycRZJgNWrjKEvWMlqGvqY+K4xzh91gVv/MwVUqocNsPYOBUD+z6CllYmNm+vjMhIXUyfdB3nLhWD933bHACiQCGuxWLRu8dDrN1QA2FhesILQibG3i4WrVu9EWzD1Ss2iImltCsLVatGoV69MKxZVx5v3hiLfQg5Vo6sSmI2JGDZoMFbDB98D3v2l8Xps8XzABBd3XRULB+K7l0e48w5VzzzscCUiZ5ITtHA6AnN4egQj8H97+PBoyIo4RaJG54OePbMAhmZ2WjSKABOTnE4caIo/N4YIFWmghEjn+LuHTPcuW2GzMxsZGZkws8/AAlJwRg0KAuNGwPDhwOvXgG//aaBly8tceiQDVRUfu98WqRIGvr2DcKNG+YCJLKMMssrm5rK8f33IXBwSMHly1YIDtYRsSlZMgEdOgRj+3Yn3L5t9t//RP2PnyEfKJRffa1REACxso4WDIaxSSJKlfHDof1NEaHkATE0TEbnbmcF43HmZB3EJ+gjM8froaZG+VYsBg07JGRYm9d3zD2t2t85ooKrGhq1XYLsNDUMHV4Hz56/xpvnPgiNMsKLe7+gVvNJaPXjd3C1tEN4sjoqlsjGrOnr4WCUgnQVF4yZ1hgjRm/C0OEd8MuKS5i1pBte+lpi16Z1UNVIxOk94/DosS+eR5rj3QsP3LieAVg5onLNOhjWwhamerEYMnoNOrepikbtumPpqtVYMWMAnocBYyctRMduw1C5XG1UswtDTEoafF49w94dh1Cn7Uq8vHHysy9R6/btBQC5e+sWAgMCPnk/klSLf/P9BoaGMDM3zylTriKercHv34v7h6zyxwY78PJe40KKNITvj0VGVFWhq6ODarVq4dH9+4iJjoaVtTWio6KEZ4XyMa5KJiYm4t3bt0hISFB45v4GoCQqLOZ0Qv7Q/nj8Ira2eBsYKJrlMhaylBQRBzsHB/H/yPBwEQep5Pynzks5vpTAMb40v+rp6+cy+vTkhIaEFLhA8KFrZWpmBm0dHYUiAEDI+/cipsq9DJQlJpJ5lRp4BycnPLh375PvlW99Q/otbLVshdSplH4ZHArbj4h8HhB+12uoaqKSYWW46BXDsbDDsNYqggqGlQRjQYAhDV01XbS16iDkVsfCjghWg14PDjIoBDlDHIcjMSMRqwNXCIDRwLQRzkSewrvUIME4KrygKtBX10cryzYorV8Gv0Ucx924218czkIA8tdDyC7oxsaKHLBwfDgCXxWAmJnJ0bNnIFq0CMPUqWXx6JGxWEEn+KD3g79nEvvggQkOH7aDk1MyZs16jrNnrbBiRTE0aBCB4cP94eeng82brXH8eDji4uKF1KpSJWDuXGDLFsDLyxoOTm5YusQH+w+44LmvaS6VJOhJSxmGD/WBXK6GbTtKICxMFwvn38ap04646VVEKVLZKFEiDgP6+mLZyvIIDWE34ywYG8vQqWMAbGyTsWGDm1jhT09XgZpqFmrXjkD37oHYvNkN9x6YKkr7qubIuRRwJA+t1bzZO4wY/gz79rvi8BFnyNPVFRW6VIGqVcPRs8crREdrY+eu4mJfM6bfR2KiJkaMqoMyZWIwbIiP+DI4eNAFNzytBQtD3buZqQxdOvsjIUEDhzwckJiojpmznuDSRSvc9CRwyEZIWBj8/PxhbJyJMWOAKlUUQC4gQB0XLujg+XMj7NljmwtA+IViY5OKvn0Dce2aBe7dMxUsB4EcQWPz5mE4csQO9+6ZQCZT+GrKllX4eX77rQhOn1aObeFH8r8WASYfEREReZLCf/ocCwIgfLZo66SiWvVnKF3WD4cPNMkDQGg4pz/Ey7MCbt0s/4fp6urJMHzUAchkWlizsmvu6/f9LmDx6LroN+E3rFg4Fpt3bcdd7/coW0IfRZ2rY/7kjmjXbwFqNCwPI/0ikIW9RenKxfDTT7vRvLYZgt4mYPr8dhgx4Vf06NoUG9dfxaqNA3Fs3yucu3Af2lopmDezMYo7uqBVt3mYNa0FFi25iXadmuB5YAQWjWuLsOAXmDhjLxbO7Ae3clWwbNUWzJ86Aq8j4rF+0yFcu/gKO7euRoUSMUiSAU/9XmD8iI045rEfa9cd++xL06ptWxAA/FUAIp5+OdJWO3t7lCmviHccO+0CsCpSRCTez58+VSTPZmYwMTUV95MENAL9/YXsq2nLlrjj5QUa3/Mn6GRrbe3sULZCBfg8fSpkYHUbNMDTx49R1NlZ+Nmio6MFCGG/KDI5nAP9KxxuJUsiMiJC/E658W3+gDEGpcqUgYurK27fvCnAWNny5UXn4LCQkD/46fh+G1tbWFpbC2BUplw5xTeCigocixYVx2M/KWsbG4QEB8PnyZPcpmUEVfoGBgJIWVhaCiDF837/7h3ev32bpz8WtyW4KVehAgyNjMR+yUiyjxMX4a5duiTAV0FDulaMJa8V9xsXEyO+b6yLFBHn+OD+fXGeRWxskJyUhPi4uNxrxevAggWMSVBAgPADcZQsXVpc56TExI/Gl/cAz4H7vuXpKd7zrQxVqEJbTQfVjKujtH5ZHA478AcAQpmUs64zyhqUx+PERwhMCYCjjiOqGFfH2YiTiFcCIJRT0U/im+SDazFXBJuhPCjPGuo4kmVpsDxgiQAxlY2q4rfwo4iUK4p98HrRwF5GvxwamzcVTY6vRF/Cg/gvB36FAOSv33kWFhbic1o4/jwCXxmApKFnzyC0bBmG6dPL4P59EwFACD4qVozDyJGvkZSkjs2bnfHihQFKlEgUDMhvv9lg3TpntGv3Hh07huDIEUucOGGGyMh0vH79WnT61tMD1qxREB0DBwKWlg7Yvz8Bmze7wM9PP7calfgSsJFh9OhXiAjXxv79DggO0cEvqx7g+HFbXL5ilccYX65cHAYN9MfCRSXFqj5lUVWqRGP4cD8cPGgv2Bkm4VyAIBNA/0qTJuFYs6aYOL8/DmHwyB005I8d8wq7dzti/wEHpKXRQJ8NR8dkDBnsB9fiidi21RlXrlrCwiIV8+c9RUysJoYPr4zataPQv78/fJ4ZYdv2ooiN0VSsgqiw50gWvv8+FNWrR2PpUjdERmpi0aKnOHDAFg8eGCAmJgGvXr0SX1yWlsDEiUDRosDkySrIzHTC3r3RgqHascOBnUsUEjYA9vapwpdz+bKlYEB4/czN0wRQfPVKHzt2FEVCgnous1WvXiT69QvEgQN2OHOmEID8lx9GycnJYOPBrzkKAiCci65uKmrWfiwM5vkZkGYtb6K4WxAOHWiK0BDzP0xdRycNA4YcFqB+1bIeua9Hpz9Gv5YWGDnLG3ERkXBwMUBEsAYaN7DGySuRuHFsGHqMc0f3Pt3geeURNGSpaNi8Mpa6n4emtqpYNJk9qzbG/HQCM2f2wJwZ+7B4WVes+eUh3gWEYcfe6VBPeoNXfu+RLEuCikoClq64itVbF2DC2FU4u28Bnj73wrDRG+HtuQdxsiTMdd+KZTNGIzZDHWfO38K6Xw6iU4/GGNWzBbKy0+EfEYIBvVfg8L4d2Ljh1GdfppatW8PQ2BgPvL3xNihIUSGQP/R+FMAk0EvGJJpJKcHq82fPRMLKcumubm4iOX/14gXMzMwUlbTMzUXi+S4oCMkpKeJ5xaIZP3brhquXLolKa6LEutLglz73Rabj2ePHIvkmAOFqPZNxvzdvIJPJxP4JNvT19XH39m3hWeH4vm1bpKal4eG9e4I9yQ9wRKKnpgZHJydUrlZNABq+n/PmeREoPH7wIE8JasHK6OmJ40VHRgqwUr1WLZGg8+vA18dH0eMqM1MAjOIlSiAoMFAwJTxnKZGnL48xT0lOFrEhOLh5/br43HGe0nEqVKok+l099PZGCqUB2dli22o1a+LGtWsIDQ4u8PrzWnEuBAEEbAREGTnXiqDLxs4O9+7cEaDDwsoK9g4OeOXri6SkJLFvzo/nwevH47FRL0fbjh0FcCQII1jLP0R81dVR3M0N5SpWFHO/7eUFgs9vaZC1qGlSGyX1S+NQaF4GhECArzczb4nQtBA8SLiPtMxUFNV1Rg2T2jgVcTxPdaq6pvWF8fx4+BFhPM/vJaHnpK/dQMGQuPsvgouuK9pZd8T1mCt4mvBYSMF01fRQTNcV1Y1rIjadLLQKniU+FtWzvnQUApC/FkE+EwTgLxwfjcC/AkDIdEyZUhaPHxuLRNXVNRHDh7+BnZ0M585ZY9cux5zfJwkPyLFjNti8uahYea9ePQaLFzvDz08bMlmmWMnx9/cXHchnzQLatQMaNgTi41Vx5YoO1q51Q2ioXh7vBWVCo0e/FiCHACIwUA/r1j3AiRM2YmWffg7JHF+xYiwGDgzAwoUlRNUu+lh69QqCq2uSABlv3ujnAhZ19WyMG/cKpUrFY8GCknj1qmDzEUsNjxnzCjt3OsHDw14wKewW3717EGrWjIa/vz7mzy8pGAX+fsmSx4JxGTOmApo1C0PXrm+xbl0xwSYRCCkPJv/03MyfXwJv3+pi+fLHWLfOCU+fquLJk+e5VYqKFAGmTAEMDYH16y0gl9th82Y/AUD27OGcNJCRoSgpbG+fggEDAnDpkiVu3mRn9Cy0bBkqwM6vvzri6lWLnA7uipmw4ECXLm+xcmVx3LpVKMH6rz6PmPyEh4d/9WpHnwpAatd9iBKlAuCxr1keBqRT1/PQUM/Ab8frIzGBDGfeIQEQDc0MLF/cK/fFV2GXMb5vRYyYchOl7XQRm/AeAaE6qFvLBJ63I3FuX18MmnkYPQe0w7Il2+FobIHy1cvg1x13YFNeDwZyTUydXAMjJ5/Dinn90G/QPMxf1AOLFtxCUkIs1v06FdWKGuLBi7fYffQhRnayxfDxu7BwxVyMHLEIF0+5o223WciIDMK1q4cRkxyLvfs8MLRvR8SlmuJtaDDWbz6CyBAZDu+ZivjYIARFRWD0sG3Q1rFArUp1P/tWbNaqlVgBZxLJ5JMr3wSflDJFRUYK+ZTUAViZQeDzg6xBlerVxev3794VQID/ZrLL5N3SygqPHjwQ+9LT1UX5SpUEYGAirryvzt2748rFix8EIPzyL122rGASmOQyaa9Zp45gNQgUOGcOaYW+YZMmYrs31J4SgLRrJ551PD+yLAQAyseW2IjqNWsK8ELAwf2+9PUVSXfFypUF28LjSe/j+ZHlYNwIusjK1G/USLA+d728BJNBJoHHJYAiS8B9MfEm2OD5MCkP8PMTz232lCpWvLjY380bN8Q2/Axym9JlysDW3l6cU0R4eC4T41ysGKrWqCHYBMbzY0PI5HR1UaVaNTEngk1eY54Pj1GmbFnB5njfuSOuOWNcskwZweD4v3kj3kt2iMcncOC5SUCOEj5+aRKAPrx/XxRwUQZ5vC5kvjhXxoISMjJMPPdvaRBg1DapK+RQHqH78jAgLNFb1bg6HLQdcT7qLKLTFUU5yHTUMamP4+GHEZsem1sBi5IpVsk6EX4UCRkJub+XzlcCICy5u8R/gSi929mmu2BEXib7IjUrVVTKovzqfep7BKT4o65pPTxKeIhniU++OGyFAOSvhZDSR34mCsfHI/BVAQhXysmANG0aLkzoL18aiIS+T59A1KkTJf6/erUr3r9nL49suLklYtGiJ0LWQxPzsGFvUKxYEmbMcBMAIz09SzzYuDrz/v079OyZialTgVatFD6Go0dVBACRyczy1DAuU0YBeGiCJ+AhiNi//7YwSYeEaItVfXob+ENvA8sCz5xZRmxXvnwcBg70F6v/ZEykbu5kHShFWrDgKSg1o8SMjElBg5KzUaPeYNu2ojh61Fb4XsigMCacz7JlxREQoAA51tapWLLkieifMmFCeWHmb9MmOLepo7IhnMelGXzAAH8B3h4+NIK7+xO4uzvh4sUAUblHeuiT+Zg3D9DR0cS2bS4ID9fH7t3PBZNC9igzU1X4OVJT1URZ5NKlE7Bvn4NgQQhICKCiorQEc6VsNOc15HnQtM54MN6F478ZAa7AMkH52uNTAIi+fgrqNbyPYq7vcHBvXgDSvdcpxMUZ4MrFasIH8kcAkoohIzwEA7Jsce/cl+8+P4ndq3ujTfe9GNq5Os6eOotnYapo3aQojp99j6seAzFq1nYMmzQQi5dshCxYhpLVi+LK2QhUammFxSPHw+fFAcxYdBdjRzXGovknMG1uSyyYcwey+GhsPvQzyloY4MrTJzh29DWW/lQZnXsswLL1y9BvwAKcPeyOtbv24JX3M+zZvhpJ8mScv3oTbb6rjmSY4+37V+jTez06/9ASI4dXRGZqFuLS49H1h8WQpxmieeMmn32pGjRuLDT9TKK52s0qefyyZdLJRJtMAyU39Fcoy2yYWNo7OqJGrVpC9kRJTm6CrqGBOvXqiX0xqeW+KcGpVqOGACDcnzII6NarlwAgTH4lsCM9z7iPCpUrCwkXQQ4T+fIVK+K+t7dIhqUCCUysOd8mLVoIpoNJLgdN9mQk3EqUEGzDyxcvRGItDTILZcuVE31O+D6yGmRLWG6Y4Kd4yZLib0rJpFLUjE/dhg2FbIlAhaCGx2XyTfCSmgPEeAwhyXJyEuCL50ggxFjI09LE9x3LxxcpUkScI0ETf6TGZmRKGjdtKgANYyz9nvslk0HZ17UrVxD87t1Hr78kY6tZt64AH36vX+cBUyzFTI37nVu3RAwIyij3Ivgi40G2hdeQceS58pyk60cG5MnDhwKw+L16Je4Dye/CSTF2lapUEd4gPlNcihUT9wSBzbc09NX0Uc+soWAdDobuzQNASuiXRCOzJjgbeUr0B1GU4lWDvbaDYE1ORZwQ0il5loIV6mDdSYCO85FnkJKZ8kEAMsh+GHTV9bDEb74wmjvrusBNv6QAI5RshaWFihK9oWmh0FfTQ2ur9rgf710IQL7yTUPQTPlV4Sg4Al8VgFhZpaJ370DUrRuF8ePLIzxcG02bholEmtKrlStd8eaNgUh2JQDChN7Dww579jhi/PiXKFo0GXPn0rehAblc0VmSD+WQkGBUqxaB5cuz0bevoizvoUPATz9pwcSkjPiClBqp1K8fLVbxmRATRBD4HDrkJRJ9Pz89YYZ3dk4GTfNkNagjnzOnlPCmjB37Ck5OKdi0qahgOAhSOLgdk/Gff/YRifukSWURElIwAPnhh/cCJGza5IIzZ6wFwCHTwzkQOFy/bpHDPmSLrvBkhMjEkEFS9FQJxbx5JQVTwrgpD1fXBAwZ4o9Tp6xx/rw5li17hpEjVfHwYZwAb9KgFHntWjVkZ+ti5UpHhIToY88erpqoCKDF8sk8Z14/nqeWVpYATCyT3Lp1CDp0eI8tW5wFI0L2iIPXj31chg71Q61aiuvt61sIQAr+SP7/24KJBdmPTzXL/p1n+CkAhD0+GjT2RlHn9zi4t3keBqRn398QHWWMq5eq/gGAsESvnl4qho3ej4x0NSxf8jsDcvvZbzi+sz9qN92KjUt6Yuq8tYhJ0IazUwp8Xmji7plpWLPjMHoNGoQd+zywc91ZjJzYBBtWPkWllpbYtWAqAgM90X3Ecfy6YQi6dF+COXNb4ud5XoiLiMCSLaNQ08EMz8IicfTYO9RpXAxr5uzGmg3D0afvEpw+vAgz1q5H5rsYbFk/HZEpqXj01B8NKpdAmqoZkuJD0artfGRkZePa2dnIUo9DqjwLHdssxMTpo/DYK/yzL0ON2rXB1XSusHNVmgU26Kdgok/JDn8IAmh2ZlJOzwaf0wQoNWvXFqva9I8oy2/4O3pLCGhue3qKv5l0U6b0LjAQb16/zuMt6t6nj5BXcR8EB9xeYgGYuFauWlWUCmbiSjaAYOL8mTMimVcGMky0yWTQXH35wgVFMvjjj/C8dk2wMZRxca5kMwTDkONrYALOxJ+JNb0mTKjJbPB1+i/IHDx59EicOwEDq+FQ/kRAxASdc6CUjSCNMVJmCDgH+h44L7IbPHYu+FFXFyCOLAf3QTDB8+Z3G8EUAQavDcEUQYjyZ5JzpgfmzMmTAiR+bFCexuvMWPL8RWGJHJM+rxVLMRM0cX4EmcIvoqoqgFmJUqUE+CDgkyRsjIvk42F8L507JxgcSrfIyEheHrIrvI8IPBkXQ0NDsR2ZktcvX372PftPvJFyqAamjYWsKj8AIaCg4fxZ4lPoqGlDS1VbVLMyVDdCEW0b+CW/Rrg8HO9kQaLk7g9FuiAjKx0Xos7+AYAQvNADMsxxlAAeZED4O3VVDWiwQIxoNZAtmg2zaSHBiKmmGTpad8KtWK/CPiD/xMX/yD7JfvD5pzzyl7NV9KjLm6995Wl+E4f7qgCE3gvKl9jjgyviNJlTnpOSoo69ex1E2V3JT0EPAw3MM2c+F14Lvj59ui+KFUvEhg3OuHfPSFS9kgyKLItrZ/cS7u7JmDABOH4cOHMGGDkSQoLl6uoKAwNd6OgAPXq8R5s2oUKCtX17UQFAduy4K9gQshDSfcG/y5SJF4zH/v32uHTJCps23YOPjxHWrXMRTIkk1WKTxSZNwgTDQ7nUjBllhLSroNGlyzv06BGErVuLCmDRp08ADA0zcPq0tZgPGRYeQ+ELSRGeGO532rQyIpaUPx08qPBXSMZvHpM3OEHUkCF+8PIywYEDlli+/D5GjszEo0cEbgq/jKYm0Lq1GjZsUEFYmBbmzXPB27f6WL/+GeLiNLF4sRuysxWggtvzGpLVoN/j2DFbDBrkL+ZFQJSSopYbD0VDyQQMHuwnKmNxvg8ffsgTU1CECl//1iMQFxeXR+/+Nef7SQDEMFn0AXF0CsGBPS3yAJCuPU8jLVUL587UQnJS3gUDNbVMFLGJwoDBRxAVZZzHhH77xQmMGzsI61fuhPv0zhg8aR/iE1JRpmgG7jzNgPuMbtA11kCJ0hVw7+ldTBqzEUZF7NCmVm0kWEVh9sBB8H1+HiOn/YYd60aidz93TJ3WGHMXPkRKQjRmL++L+qWd4BsSjr37X6JxqzJwn7wbmzf3x4ChW3HIYyqWbtsOoyRNzJw6AHFJSYiSJcHZ1AZJ6WzYmoLOXZciKVGGvTvHw8IyESnZWujQdhE27JqNE9t9P/sy0V9AeQ0TTK7mKw+CDGtra5QmQ2BuLuROTObJVBR1cREr21wVZ/IurXozeabMhsxDeGgovCgpSkkRoIZJO2U8vs+fC++HlFD36NtXJMCU4PL33AclPa9fvBDbkPEgECAA4XHZuf30iRNC8pVf7kO5E/0M50+fFqfSsXNnXDp/XuyzTv36gjWRvCpMLMhMUHpFqRhX+kuVLSvA0LMnCqkLk20m7xwEAkzYK1WtKgCVZJwneGjdrh1evXwpEuv8Znfqx6vXri32SfZHSla4D86JAIHffRLLwESfjA9BC0GZJG9TPLcVsi4yV5R8/Xb0qPDCfGwQeBFEsdcLfR3K14pelrYdOohreuPqVXGtJF8MGRDXEiWEMZ73B+V5UkyUAQivBWVWjBMLBZDdIAjj/VM1R6LHmNNrQtD0+OHDP9xrn30D/01vNFA3RGOzJqILOfuAKFfBamfVUfg1WLUqOZP9OeRIz5YLUFLWoBzey94hMTMRIanBuBl7A9yeMqvTkSeRnJGUhwEhwDDXtMBA+6Gi3C5N6AUNC00LdLHpIfZdaEIvKFp/3+v8nDVv2xH1qteAnl42wsLC4OPzBnJ5LKKiZOJzYlTEEdXKOOHg6o2I/x+XaX1VAMJElQl2yZKJwi/QseN70SdC4R2wzOO9YAJLkzW9GhIAIRihKfziRSvs3WuH2Fh1RT+LLCbUGahcOQY//RQgAMiRI9kgoz5+PHD7Nk3ZGihduhiqVNHAsGFBKFYsWUik1qxxFUzIL788FACIQEdZyuTikiTmwPkdOWKL3bvv4OxZa8HIKFdtJDNDoEIfC1dOafx+8qTgEmz9+weIyl9nzxYRXhiCBvpSOA+yQtJcyDyUKJGAadN84e9PAFJWsEn0XtDfsXhxCUREKFC3VAqRcx82zB83bhhi9uw4nD2bgMWLgVOnABZ8UVcHTE1VsGGDPpo3T0Z4uCbmzSuOly8NMWfOS+joZGLWrNKiB4l0rvSh8LicG68LCwfQH+LuXlxItKRBBofgqm7dSMGgrF1bTFy3wvHfigDlLDTP/lvjUwCIkVESvmt2G/YOYdi/pzkiwk1z+4C07XBFlNo9dKAJ4uPyera0tOWoWesxGje9gxfPi2LPrla5p+nlcxwDB3fFvKlbcGxbfwyYeABxcam4eHY+vF+GY/naLdi3YDJehkRAphKPkQO3w8hCH6n8TMcmoHblMrjhEwBjK01s39wLEyf9is7dHLFqzRskRsVj6pL2qFeyCt4nBOPEmRC4ljbAxgW/Yf++MejadwMMdJNgXkwLdUvUREh0JMaN6AKKOazUzJGQmYzouAB077YNyYnpuHxhNtTUQpGYqYGObedix77ZOLjp9WdfMq5wMznlqjSTR+XBpJ0r/pTnkL2g4ZwG8muXLwvPA2U6NI8zMc3vj6jXsKGQBhGwMKll+gfj5wAAIABJREFUkk+/CFf4Hz18mMcr0L13bzx5/Fjsm1/qlCNRlkRG5rmPD1xzVtcpQ+K/mVCT4WDSnKd0r5oanJ2dhWmdzADHD1274uLZs6I8LuVVZByYaHOln74HehMIbJj0lyhZUmxDtkOKhagWaGcn5Ej37t4VAIkmeMq5nj56JCRgPPf2nToJBoTvze+DoJRKsD9BQQL8kMGXPCIEVtyeybpkrqcZnMekzIqxVvafSJ4Kxpd+FQIQApePDe6XAJIxU5bRkWVxcHREvUaNEBYaiuuXL4trRVkaY0NgSoBJJoYMBsEbz1VZgkWAd/L4cfG78hUqwNzCAtdz4kugyPhev3JFFAUg2GPFtG8RgFD6xAaB9joO2B9CAMIu5AplAT0gonBLNrkJxR+OorouaG7RUpTaDZeHCrZCniUX+3HSccLhMA/RL0Tanu/RVNVCRcNKaGn5vegDsunt+gI/u5aaVqIR4fWYq/COv1Pg9gVtUOgBKShCitdZcrrX+OmoaqUKv5AEsYihoWEAM7O8i9GP7h7ClUN3EccV8f/h8VUBCD0dihVzhVac8iVKoLjaz4RWuSs6ZT6NG4eL7SUAMmnSCwFKKG3audNR+Brkcnb25oc+E+3bh6JTp3AMHgycPJkugAcT7qNHpdV7VcyfTx8HEBamI5oest8Iq1XNnesjGIhdu5xyWRjOkb4LGsufPzcUPpQ9e+7g4UNjwVgw4SYrYGwsFyVomfC/eGEoPBz0SFBSVdCYPPkFatWKRmqqojLOnTumwksRG8syiyq5iT8ZofLl4zFhwkshEyMAoQGdII4ghQZ2litWGOgVNcGrVIkRcq7VqwkA0nHpEnDuHLB8OZkjVgciQ2SK/v1lePNGF05Oqdi1ywE3b1pgxAh/YbQnAElM5FwUZ0JZFVkrMj67dzuIErsWFmnCKE/GhNsRVNJA36BBJAIC9EAjP8Edz6tw/LciwI7nyvrtr312nwJAjI0T0bSFF+zsw3FwXzOEBFvkApD6je6hYiVfnDjaEP5+drnT5+fazj4MBChGxonwvFYJ165UyX397pN9GD91GI7tPoaeP1TG8Mkn0a13K7RrWRzXfd7j5OnreOkVB4+946FtqoYuP66CVrYMmck60NfTQZdi+ljuFQB1XR2cOT0GU2bsR5++RTFp9l2kRMVh2tL2qFu8Dt4mvMAi99uo3cgaHpvu44jHRHTovgzxYeGo1tIS9gZOePTaFzvWzEViRjJcDJyQlJmGpKRAtGy1DPv3z4OObgo0NN4hJkkHPbvtwIGjY7Br1efr6Z1dXFCrbt0PAhApQEwuKcViospk+fjhw0K2w6SSDAeTUomJYFJMaRb7YLD87K0bN4QJnQk2k3hJssUvK+k9XXr0EIk5GRgm9GRLmDRr6eiI1X/+n1WZ6K8gYJIqYjE5lqoxca4ESzwfVmviqjwHK2xRrsW5EghwRZ5gg0lwidKlRUJMCREfiTSHU95F8EEgwcFzl3woFFlQHka/A6VGrAYleVaYiBPksIoVmRxlFkQCIOy1QUM7j0MAI8mdeByCATIEkgeFDAgZmYvnzolzVPbEMAaUinFuZHooDfvYYKEBMkye16/nqWxGUEhWioZ6AhAx94QEAWzIjBHg0eDOa0kZGcEgq35xLtL5/dClC04eO4b0jAxRKYhAixW/eD0pnSMzwvjy2pAx43VkbHntvqXBZoBNzVvATtseB0P35aleRYmUMoiQ5u2sW0wAicOhB4VnQ9qmqlF11DCpJTwgr1Ne5QIZ7oc9R1patoattp3wdJyO+K3AMPA9/ewGCgBCFuRLRyEAKTiCfE7xfu44bAKM3h3BmgPPxGc0/5DKW/O1/3UZ1lcFIPQ3MGFlop6czF4TVoL94L/z+xeYxNLfQJnR4cO2AhiQiWC/CRqek5PVcOGCJV6/1hNN9UxMaHB/D13dDAwaxApNIfj113TR1XvtWhqsKTWC8Id4eBhCS8sSAwcGY+tWR1y5YoVp014gNlZTVKOilElKuGlC53Fprl6/3kV4MOjF8PIyE1Ioru5XrhwrJFJkRuhr4fYPHhhj40aXAu9amsqZoLP8LitZrV5dDDExmrneEmkHZISqVIkV5YOZ1E+eXE5UmGKVKzI5BgbpogIVQRljo6srR4MG71C5cgJ69MiGlxfg7g64uChkaQQgLVoYY8qUNCFnu33bBL16hYhKVQQz/fsHCj/KnDmlBRiSwKGBQYbwfDAGbC7IOXz3Xbjwx7CqGf0y5crFC6mWp6e5AGtsPsn5s/BA4fjvROBrNx38UOT+CgAhA+JxoCnev7XKBSCuxd+idfureHi/BLxuVBCgnwwmq181anIHZcq9QWS4KU4ca4Dg95a5U7jnexyNGlVGSlw02jcqi54jtmHM7HE4uHUb+oztgYunr8LrXAgaVLfAuDm90Lv7RtSoVBGTx87E8KFD4ZQeiQYVnXFDXgRuxczxPOQBKlXSgfsqb6QnZmPBytawNiqF6PiXmLv8Bn7oWgFbl3vi7PGZ6NBrCaKCwtCyqyXa1PwR5+5cxYThIxCa8ho7l1/GjJlDEBZ7F4P6nUTl8iXR+vsScHNLR4xcE906bsH587OxfsXnS7AoaapdAABhoKjfr9+4sVgFJABh9SOuvNNTIFiInHK2lNhwxZyviQaHd+6IZnxM4rmiztK8ghXJqfTEfTN5p5eC5m8m23wfWRDOjawHV/3JfJCpoCeC/yZYpgRKuXket2NyzyT3VA4A6dyjBy6cOZPLEjAJZqLPOdCPQPkSE2tVFRXxXkq4mByTEVIGYKxQRUmUPD1dMBhnT54UEjCJDaAXgvOmlItAiiVupS8egjcm5mQQKMNiFS8yCsrMBRMY+lQIkJi8G5mYCMaJxnUBsliWl54VY2PhqRC9QCwtRQxoKv/YaNWmjQBOBE3K14rmeNHrJCZGyOYYa8aTcScwY7NB+jl4vrwePD8CTmVARIBHAMJY8N6gDItll3mteB8QjHB+PD9K13hMgrD8bNu//SSVAAgZEI/QA6Iref7yufnnSON4M4uWAoDQnC4BEAcdR9E88K0sEJejLwpmRPJ+sGxvDeOaSMpIxpGwgwiUFdz8k1Kv/vaDcTP2uui6/qWjEIAUHEHJ+/HD8Akolv0cc1YeEwUVJJAhLQjkBx3xjs7o5GaOly/DEf/iBaJz3iMBFeUjcx/JRYqgqbMzIt6dwqsgo9xO68rSUuVjSIqY/PuTFgSUO7VLC0Pc9mMd3P9snwVHKe8WXxWA0PsxYsQbwSpI4IMJ+4ca0FL+w+SWq/zsA7Jpk7NgQ7iyTp8Gq2ERyDBZ5/uZgKekqOLkSXNcvWqI2NhkNG7sh7Zt0+HpCdjZAdWrA3v3Kn5MTQ3h4ZEuSvxy/0OGBApzNQERV/ylhJtVn+hj0NbOEqv8VavGiApaTMTJPJBxoAGcLA2rZLGKFcsM29mliNKzBY316+8LpoEJPI3d3Ed+MMZ9cG48dx6bVcLGjq0gjsPGjpRr0SDOal300JBNAVgyMQ0nT2Zj+3aAkl92Ol+4ELh2jcmBAerXz4CPDw34NoiL08LYsQGIjNQSsaZHpnHjCLi7s4yxojIYB4Ehj1upUix++cVVVPxiFSz+zcHjR0VpChDDhoRsAM+Y8VqydHDh+G9E4N8qu5s/ep8CQNjtvHHT23Ap9g6HPZogKLAIsjIVvib2CPmx2zno6aXgtld5JCfrCPBRspS/6A/CVe7zZ2rhwb2SSEtjnx3FeOR3Gj27NcX9Oy/w07BmaNt9CbqO6o2DG7ej94B2uHDDEw8vJ6FPj6qo164Mji69irENa+FRsh7ajp4OZMiRAXV4XjyOZRNHo9NP3bF6yxFkpmsiKTYec5Y0gEqaA4yN0/DzsksYMqQe5k8/jnO//Yz2vZYg9m0E2vW2wKShY7Fpz3E0b9gYqYjC8N4HcOWCOyKTH+LxQ0NMn/Iz6lYvgZ8XNMXr4CwMH7QfJ0+NxdZVBScxf3anMtlkcszqSOx9kX8IQ7SGhgAP/OGKOJN3rqoTlNAbwFVzJv9MmNkZnNWhWPGIyTyTTUqppK7lXOEnK0Jvg/SlKXp1pKbCy9NTmNCZDJOVkYznTF4JDggKmMxzHtyOq/ZcTSeYEc9VbW00atJEJMMECBxMkCljoqeEPUYoeWKFLskoTsDApJvnSeaEK/+MAxPo3KGiIiRkZAvoiaHUism8qGKlSpY6S/TD4LxZtphz4jb8N0EDpUgEPmQY2DOEla3oFSFDpCxdI3CSTPAGRkaiPC7nJ5nmyaRwXzw/FgXgPll1ipKtj40mzZvDJKeKGAEFrxUN47a2toI9IUNFsEBwREBGpoogjK9J50hpFSV09LDQ8yMxT4zvuVOnxD44OEcCLFGxKysLt27eFBI9YaovX17I3J4+eSLka9/SMKQHxLypKK1L6VSQLBBZ+RoI5p8vDev1TBuKcruKXh2KQf8HO6HTT0LWgt4RmtZd9YqjtEEZYT6/En0Zt2I9RcndgoaNti0G2A8WJnQa2790FAKQj0dQqnzF78UK7XvghzI6WD55JWL19QsMfZX6zTGwW3uEhobCwNQU+jkG9pC3T7Fq+tJcmZZcboiRY/rCyUoPL3zeQMXMBo6mGWKb8j36oU2VckiSK/Kw25eP4dSV++JZE+1aBv3ddHH4+C3xOeaQyw0wcmJvnJy3EMEGBoKhrN26HX5o9h2QmIiYlFjs3zkFr9+a5GFp0tIM0aF7C9SpXA2mpvqICQvC/h1j8NDP/KOA5c+C8FUBCBNo+iTINNAT8O6dzh9W+qWJEoCwFwZZEPojNm50Fqv9ZEAom6I5m6vsxYsniqZ74eFa8PXVQ0CAJrj4k5GRCWPjJFSvHoD69dMYUxw8CFy9CrAMPCUWLVpoQk/PDn5+VqhVKwFubsm4eNESkZHaAoAQBXLlnsCJMqklS9xEGVqCHxrkCT7IPjx7RkO8mki+yYQQLFCWFBSkW+DNRwDCY5DhofyK+1CWouU+oDSz0LBhhJBUERAQgNSvHyEM4Vu2FBXnbm0tg4tLAlRUIvH2rQze3tkga81z5+KakRFLFKthwABt8XD39jaGp6eZAB/Z2WooWTIJxsYZuHXLXFQbo8H9yhVLUe1LAkX0otCr0qwZZWb2AqwRUFarFg3e27wO9L6wGSFZHa4mMyasovX6dcEfxgIDVrjBNxEBro5KCcS/OaGCAAjL5xoYpggTuluJAJw/W0tIrVKSdZCWpiHK6zo6hQqAYmKSiIxMVWhrywUwkcs14PPUBRfO1RTARAIt5cq/wq5jgZg1tRcGDduEu2d+Rv0WEzBoQnds/GUrZs4egwOHf8PtC6Ew0U/CNo+J6N1rDX60ckCkjhGW7buA1JRUvHj4BM9u7IdVUgj2Xr2Nlyp6SJJlITUpDbqmyahdoyYG96+LmSuPoV3zUliy6ApOeUzEj31WIyowHKOml8F3tZvhxl0f6GmZQt0oFrNHX8HJU+5Q0XiG90HOsNCSIVX+CvYlHREaHoMJYzyw89eRWOP++R4QroATKHC1mwmxtLImrZqRuWBi7OTigvS0NNH4jivmTNaZqDJBpfSID2EmnP5+fsL7QdBCzT/ZD6miFFfsmTST6aAZXUq+CWZ4HPbJUFdTE8kwtxUekKdPhdmaRnQm9qJjedmyIoEnK8EvWwIegkvKlgiKeDxphZ3MhNRkUfQo0dCAnZ2dkJNx/wRQnD+/zOm7YPJMkEWAoTwIbkqWKiXOmwk/V/aZZEsAhIwQk3tKzeiZYSLP/2toaop5MglnlSn+TSDDubLaFrdhxSn6aVjSmJ9DMhE8T0qYtHV1cz02fM4ztgQdlMIxTppaWsJj8bFBTwzjLq5VTiNDxovnz+pabBxJhoNAjMelD4QxVJbW8TwYN5YlZjylal6UYBGQSteTyRsZJsmQziaOZGsYX2GGr14dL3x8BLDioJeF+1KWZPF3BKjKIIW/o2SN9+nfPVRVVGGgRgDSBG56JUSvD5bApUk8Lae07oeO6aRTVEitzkScQnyGoh8NB9kOSrnoBTHXNBcMCEEJmwtmZGfgdfJLnIk8KYBJ/i7pHzoOJVgEIPfivXEuUlFc4UtGIQD5ePSU+35Ubt8d7UrrYMWkFYjWVzTB/th4X70+VlfSx/Ql+8U9z+dTSkopzJxfH/vnrRMghr/rOnAY1KOuY9Neb/EMkcmKY8nG/ji7djBUKk/Ad9bRmLH0IBJLNMCmEc2wefhkvDcwQEiNBphUJBHbPe7kdmYnkBg2qQfOz16AIEND9BoxFkWyA7Fl4U4Ea2oivngdbBzWDFtGThX74CCQ2TVqMIKee+P00SW441sCPwz4AW3ru2Hr8t54FGBR4Lnmj8NXBSD0XNAfwUSbSSoTeF4bMhiKH4X8gQkr/RBcZafJ+vx5K9FzgmZtrswTjNCTwVV5bqugg+gpUUFGRjbS0yVjulSiN0TQ7/krjTAYvJCWluxnYZ9Ll0nlenMfDv9guTQyGjSPnz+v8MEoDwmIKOKRJRgfypmePDHEnj0OIukfNChAMBiXL5siODgSYWEhkMuplVYYzdPTf48v6XAnJyfxZccbnT/CNKqqaDL4IcrvSx5ahe/9b0bg3yy7mz+iBQEQTc104f1o8b0nrKyiERlpguhoI3jfLovXrxygppYFDY0MWBWJQr369+FUNARq6pkCbDx+5AbP6xURF8tnze9NPitW9sX2XUFYvXo4OnVfgWM7J2PIqOUYP2sYls6fh94DuuPBU08cPRAEC11g0vzmmDnlBPScbbB91l5ERCchVZaEyMhw7PfYgYSkeERHsteDJlJk6ZClyGFkqQl5hgp2rh2BpVtPomVjB7gvvYILx5eiy8ClCPLxw7hpZVGtSjM8eUYzdhacissxd8pdXL+0GiGxnujf0wMqmZro2L4qBo+siJuPn2D6uAu4fHkOVi76fAkWGQMmyFKTOya5LJ/K5wmTUT5nyGYw8WX1KrIdvGf43KFRmQwKE3H6KpiUM8Fmwin1kuD+mGAyyWYzQjIb7MVBQ7b0DKffQ2qGyBK6fD8raLGqFJkOyrZEQ8BHj0QHcmHOvnJFdB2nP4GyJD7vmDiTeeBcpf4g3DdX7LmaL47Hpnw6OmjSrBn8/Pzgm5No8/1kMAh06H3IXxGMMiSyMJzLzWvXhKSJ+5MASPPvvxf+CFaaonyJcioeh0k/98dkX/KG0BBOFoeJDkviMjY8B/o0KM2iHI1yD/onyBgxhuzNQ/aBf3M7HpegjUCG239s8FqxkSN7cIhrFRMj9sVrRc8XrzUrchE8EOyxipXEKinvV/R+cXAQceb9wsFiBGROCEolgzrnzd/TZ8Pzlrq68xgEvBKI4vtbtG4tQJAy2GBJY1YcItCRBn8n+rtQf/w3D4IDAoYWFt/DSstK9PSIlkfDO/42XicrGlp+aJDhYKdygoL4jPjcTQhoyHiYapihjmk9FNcrAU1VDWRmZ+Flkq9gRSjZIhjJPwhexHe3uLv5kw0zDXN0tumG+/H34FXoAfmbr37e3eXv+/GuWgMc6lobK/tMQGDOc+ZjE4gsWh6zvnPA8tUe4jPMEeVSEe6dKmPzzF8Qo6eH0Jr1sf/HBljZZwwCjIzE5y8x0RazV3bBoWFTYdR/NJoXicPPyz3Qc/x0uOAV5qw4JPYXXKMBVlS2wKJV+/IAkCGTeuDirPl4WLUelnashU1TFiNCT088O/gM6jRqMvRDL2Dn4YdIS7OB+/qf8Ob6eqzf+1g8R/g84XblO/VHt7K6WDZ1BeJoLP4L46sCkL8wrw9uSgM6V/wPHLAX/gLlqkuS/k1agVFUxsrMrZLFSj0hISF5KqAoH4Q3kYODg2ggIyXmEnJVRrAFodkvPcc/e7+yvk/S3xHQjRrlh2vXdLFgQSqCgxP/tBcDqzNwNUq6cQrBxz91pf77+/03y+7mj25BAERdIwO2tpGoXNUHaupZkCWz2agFAgNsEBNt9NkX6/SV4zh3ahradpwPe1t1vPQJw8zl43H13E2Ym+vAyloF61Y9QqYsCUtW1cfOnf4IjIjB0knboaung6fPHsE/6DVevmYTuTQEvn0LTQ0VpKZlIjVFDgt7U6TK0zBr7A847PUI7Ro4YN7C8zhzeAna95uFiFcRmDS7PNycGyJJFgtPT38UK5WOQ9ujMHxEB9g7RqNbr1+hBX0Ud9TBLxv648wNT8ydehFnz0/D5l8+X4JF9oNSpyyx8JMtvBBcHeeXEZvlMdlkMsrEl/9XXhX/lIBLTIp41uZUSmIiTgZDeg7S4MwfJuJMirkSTwZBOhZX+UUZ4NhYIfHiaj69CCIJJqBg+UsVFZFMc47KDfv4PoIF/l46Hr/ICRJ4blxpJ1ghe8M5Emjw/crmdp4npVv1GjQQcyNrwmNJiTXnSVkVgRqTbr6f30E8TlZmJmSpqUKOJT3r+WVPqRJBCn84uF8yUGRElCt7fUqM/81tGF+CUhHDHP01gRf7tfAaKr/G6ysqgKWn/6vFLvLHS11FA7batqhsVBVqKuqQZSYjJC0EgSkBiEmPzrM5wQX/8DNC2RZByKvkl0jLSlV8hvB7T65/87p87NiFDMifRyd/1/OIouWxedSPOLysH+6/sy6QFYh0KYelHatj88wVuZItgpKlnapi88yVCNOwwfg5Y5Hw7AC2eDzJBSlkTjy61MXK3uNg1G8U2tlrwlumjfr2Blg/4if45QAVApBVlYwxd8UB8YxRLLzYYfbybjg4chqs+w2HW/ZTbDlwL3cRnp/LyKIVsKxzdWyatRLPGjXHtu9KYvmExYjU1xc5suRlS0kxw9iF4yDzOYhdRx7/JSnW/ysAQrnVxIkvcemSJU6csBV9J/IP6YEtVRpRBiL8EgsKCvrog4y6XepcmbBLQVZmBr4mGMkPOniuyudnacmqWK8REJCO0aOz8WeVFalB5o9YqVRiPpSNRv8WsPpWH7iF8/pwBP7tsrt/FYD8U9fx6OljuHh6Bn7ovggZmUBceCiWbZsEj70nEfrOF3MXjMf4UfuRFJOI5au+w5QZl2BuY4SGVXugQoWyyJRnIDTyHVJS0vDg8U08ffYcauoqSJVlICU5DdbOZkhNSEWjOmUQFP0OPw3tiKHjt+HkAXe07zMTEQHBWLywPmITzVGlkhs2bDqJho3MkBlXFpbO5jAzDsegUXuQmawKWUocbnuuws0nNzCy3x7cubsGSxd+eWnOfyq2f/d+2bWdUiX6QZQ7of/dx1HeHwEDK1I1atpU9AKRupVzG4kBIdPCf1M+lb8/yT85t8J9F0bgr0agEIB8OGIf6nqekGCHxVvH486eDrjg7VAgAElMtMHPKwkGpiPIyEhsT3CxvUkJLJ/kjlcVamPtgO+xffAE+OeACuaBVTr2QI+6TljZe7wAIMNb1IVcHgcZdJEQHoT9O6fiVZAxqnXsgYHN6+eeQHJ0NGTZOtDVjcKK3uNh3m8UjN/Px/nbtnmqdiUl2WD2sm44MGoaakybB+33J3HtkQbcyheFq7099ExNYapnIrwgaWkJuLB/C47deJ7rM/mUe+z/FQChr2LKFF9RbYkm5w8BkPxJOi/U771C2KArVYAQrjwpJ/j5g/VnQITbfYgZkd7/JYl8/vlI/5dAh/Q3zyE4OBhAJFasyBIVvgYMAKLzLryIG4GsDql6CXxIkitlmdmXzPlTbrLCbf47Efi3y+5+KwDk1LnfsH//JAwc7o60VCA+Ngq9hjaGlbEt3ry4iZFDh6Fzz58RF5WFxYvqYcbca2jcoCxaNB2PLLkcZuZGmDxjElRVVWBgZIyQ90GCoUlOSUNyQiasnY2RmZYtinnqWanCffIADJm0Fsd+XYY2vccjyj8Ghw4MxaJllzFv3kAMGjgHo0bWxfgJx9G8WR0M7V8bfcdugka6GmLCUnDdcx4ue1/BjLEH4XVrO9wX5vUr/Hfu0D+eCc3QbMLn9+aN8HmQ2finh1SGlyV+2eOCEiJpSACEFZ4o/5V8Hh+SCP/T8yzcf2EEPiUChQDkw1HKz35wq8REOyzaMh53drfHhXuOBQKQ5OQimLtqMM6tH4IHb63+AEC+mzQb2sGnseXgo9wO66KP0PBJqO+qjlV9JgoA8mMZTbiPXYpgbW10mTgHTUpYYOuKXjhp3hlrKmtj2pIDIicsVqwYVFTM0H3Mj7j0y0BkVZkA0+CFuHDbNg94SE01wuhZQ+C9ZwwcWrtDJ+Q+/MMUVfxENa6QEMSQraUEVFNT5JgSw/Ip9xS3+X8FQAwN04UhnMCDxm8atj80yOqyEtTH2BBKsqgZpWzgY4PUMGs784dUsLJfQhmM/N0AJD/o4Dypw42OjgYlMHydpvJ69dirRNH5nU1nJbsKQQdZD21tHXFTyeUK9iOPvEEJTH3qDVO43f9uBL6FsrvfDAA5cxi/7p2BiTM2IDE2FXZFrGDpkIDAQHWUczPCtAmj0anPBAS9luP4oeHoOnApevZoh51bz8NGlopUbS3IsjRglp0NdXtDBIUnQl9fG8nJciTGpcLaxRzqqqro9n09XLh/GVOGDsWIaatweNsidBo2E5GvInHqt+no2msBLp7ZiFrf9cKahQPQd+gmlCnlgrkzOmHMzG2Qy1QREybDjStzceLiGSyefQqXr27E6uX/OwCEPSoaNGokqlrR4JxfKvV3f6L5jKVBnKCHTQhZ1YlyqfwAhL056Ifx+kAfkL97ToX7K4zAl0SgEID8MXofYj8UAMQGi7dMxK097XHhrkOBkiSCiQ7DJyLRe2Tu9goJVjVsnr4MDSb/jMQ7I3H2jl0uQxHpXA7rendEtm48tvebBpP+o9CxtC6WT16OaD09JCQ4YvH2cfDe3R57otphWeeq2DxD8Zoi8TfFqNmD8GDPGBy37Y6VVczyeES4DYHRPAKjdYMFAHHDc8xefiTXR8JtpFK9yTY2aGhngbt3/8MSrL/6AcqfxEuyLIkRoSZieQUiAAAeXUlEQVSXTAI1vR9jQ6TjsloK65VT/0xgIgX/S7wiH5NZEXQQbHB+BB+fovPlvGxsbERlFyJSzjE/8PiaMrK/es0Kt/82I8D7NFypCtG3MsuCPCD/1DwvXd6H7dvmY8jYZchQAYraGqNUKQPs/vUJ5sz6ER2/b40JMxfh6pUQHN83GAPGbka/AR2xbPZmrO/aGkvvPsCDR2GoZGMKuUoi3so1oaOnjwx5GqIjkuHgZg5ZShomDumAvWeOYEj3Dpi75hhO/roKrXsMQcw7OTz2j8PEqVuxZ/si1GnUFe4L+mPqzCNISUrBwT2TMXbKJqSkqyIiKBl3Pdfg12ObsHaFNzyvbYD74ov/VGi+uf1y4YjVlAgGaDhnA7z8dWmoz+frf8fg85XmbXb0ZmlNVsBiNab8AETyc9CIT5M4/QD/5Lz+jnMr3Mf/ZgQKAcgfr/uH2A9uRenS/DWDcW7NINx7a/WnAIT9PyqqPMQbfwN0HDERBsGnsO2wonlhri8kB4AUz36BOSsVyX+8U3HM79UF3rvOotqI1ri0cgCO2fbE4W61sLzvBLw1MkJioj0Wbh2Pe7vbY3dUW6wf3AJbhk3Ge2NjcSLKoOfo5dqYu6QvLuwagfsBCg80v++DqzfEQXpM+o7DzaYdcLRnS2xf2hP3An/fhvuKcimHX8cOQrDvZSz+xeODzRf/7FPz/4oB+ZyPfn4Zk7I3RPo3zZL8oqDB8FOACOfBLzV22yXTwL9Juf8VIPIh4EGAQZ8K58OfgmRiyvHgjUnGgwBJAh755VZ/5mX5nLgWvud/KwK8L/nzrY1/C4BcOH8QGzdOxqCxy4Q5+IcO9aGOCKxcfRX7f50IQz0LLF63C4+9w7F9TQ/8NHcvViyagU5df4LHoE6IcXXCD/3mIGjfMgzYsgne3r4wMLZBUnIKEuNkKOJoDrksDbL4cJSu6YC2jeti7baTOL5vLUZNnIxHD+Jx64I7xs/ahOVLxsCtVHts2jAMk6buh7qKJo7un45Jc9YiNDwL0RGxuHdzJ/YfXY8lCz1x5eIvWLXiy7sjf2v3wrcyHz5nWQ6X5XfZH4Q9LFiZKz8A+VbmWziPwggUFIFCAJI3Qn/GfkgARDJ4B32kClZw9Xrohr24dNMaP46cBNfs55j7y3FhBI90Lou1A1tj25CJuNmsI0737yx8FnJoQRPp2LGkG7zemKDruGnQCzkL9wca2Dq2E46498UFlXpYMqAfTFVisWbUVDxTK4M5q7riwIhpeJszH+afHYZPQOLdUTh72xYxrpWxZWRnPPG8Dq97z1Gqci00blgLTy6uxdZDTwWIqvRDH+Ez8X10C3cevYSGhgGq1asm/CDP7h7C7hWHEaWn99/1gBT0IfnY63/GhigDEib9lGX9FSCifEz6RnjzSOwIS1L+WTdJHoMMB+UA/JH+/1fPUZRBtLISErFC4PFXo1e4/adE4Fsqu5t/vv8WAJk6rh9SUpKhpq4BFdUsJMvkUFfNhp6OAWSyJKhr6CIjQw4NbS1oqqoiXSZDtpq6qNqkGx4ENQdnJKVnwjjqHWbsPYcL125ADk2oqwK6etpIik/A5dMeUJGnQZaRBk01dWRkZcPE0ARJifHQ0jdCRlI4Hvo8RY2qVdG0VTeMGdkV+zwuooiNLQZ0aYLp89whhxHsbc2xcO5EHD6+Ect/uYFH1w5gtvuBT7n0hdt8RgQIQFg6lk0WWRaY/g9lqa/kAfmMXRe+pTAC/0oECgFI3rBTBcP87kODPTYaNCgN30uXPlqWViYzxogp3RD2OAgN2jfD00u/YOshX8FyEIBsHtkVHsv7wTvAHC4uFWFhoYXMzAjcvPlCbEOmQspfU1OdsWTreNjnlMF97H0U+5YdQKSenlgYb9u3L95fW4qHgZa5Ho7ydVuinGU4dnp4i9/JZKZo37MFapVzQ0ZGEjzPHsZZT1+R00old2MdSmJ821ZwsTYRp/7unS+un1yJxwFGYjup0eGn3qT/eQZEORAfMnX/GSNC2ZO6pg469BoCuTwNHtvXIjE+9lPj+qfbqeUkIaxdX7xUBVSoURdF7ByRJkvB/VvXEPjaF2EhCsMiyzGmpcpy96WppY3ipSugZaeeeOB1FQG+j2Cgr0CcymyH5FP5mv1MvjgwhTv4ZiNA+R8fFN/i+LcAyPBe38PA2ABZUEd2ZgbUNLXF55XPCvquKKdRVVVDdlYmZLJkaKqrAarqUFFRhV6mHA/v3MHiXYcxsFkNbDxxAdu3bweyMpCtrgZVUddfTQAbVRUNIDsTKmoqiuZTyTJoamsKmZWxiRnU1FSQCRWoiZ4BqYovJHmmuFTy9DRoausgI1MFupoayMhKR5Y8CypaKpi7YOO3eDkL51QYgcIIfIMRKAQgv18UPoe56Pux4j1SQYk/W4AW+V1WFiq37oh21Sog/N0t7Ft+MJdBoP+i79C6uLV6M94aGgpljvI+8++Xr6Wk/F975wEVxfW28YfeBZZmQ0WwF1QU0Yi9EzUiGjUmmliTqLHlI4n5J5pujC2JKXaNPSIaI4kdE41iRVTQWMACUqUILH2/89511lUBS1h2l33vORxgZ/bOnd+9szvPvE0GD4+rogA23RNKiYfoWNIDEHpNalLqceneUUrYJLn6SxlT1c9TPass9UPbStvvaZewQQkQCYq6EJHyxksTLP1vTNV12/mj50ujcDHyBJZ9MwfJdyjzVOlNBHebmMDWjmoLKNCoeRvERJ1GdlaGuBGh16QquA4yZ/Qb8iradOyCO7fikJqcCKqa27q9v/BDPnn0IMJ+XYeUxASVSxj171ajNl4eOxkv9AjAkb07cObIPhTkKbMSlFZQsLxsXU+7QHg/wyZAcVKU+UpXm7YESPD00eIplKIEuJeRJq5TC0pHB8DMwlJYNY2NTIRrJn3I0nZrK6q+ni/SgBubm8HS3AyKYgXyC+WwtLCBhZUdCguyxT4WZubIzZPDzNRcfG5QP5QC2cLSXLy/SFECaysb8aVE1hGaI3oql1sgh62ljejD0soCKFHW6hCZS9QCDD6dt1xXp5THxQSYgI4RYAHyYELKs34867TRZzuJA/UbeepDXXA8i1VBurfVdGbTijqOQQoQaYLVf6sLEUolVc3BCePfnw8raxtcOncS29d8h9irl4UfPP2ox3AoYyuM4dGwCYaPewe3Yq/CxNQEob8sQ8Zd5c2bqZmZKKZEAqVf0Ci08euCDT8vwL8XzwlxQhVMHZ1c0GPAUASOmoBt637EjvXLRRpOcu1ycXWFT8duGDp+JsiKcmjXZpz6aw/y5TmPVTLnIPNn/Rjg/csiQNnipArRukhJWwJk3oKFgJFUQOx+Nj7lZXy/0bZHsvQ9tJ12k/ZR/10eZfX+Hu3//lgUxmrjor7Ux/ag4FnwjFm6OJ08JibABHSQAAsQ5aQ8jfVDB6dPZ4dksAJEmhF1a4gkSCytbdHjpVdQp0EzWFrZ4Fp0JP7YuhJZ6connSRWSIRQtVwKFKcnkg5Orhg4/A0hJeJvXEO9Bk2wafliZKSliEOZmZujsKAA9Rs1w4RZc7EndCP+ORCGfCoicN+URYu7eet2eHv2PNxNScTebWuQkZok1LGzWy30ffkN1KrrBTNzC/y1eyvOHQ9HQb7SAqIeYC71p7OrjgemFwRobVNclC43rQmQhQsFlm3btiEoKOghRNu3b0dgYKDqNckCQSzDwsIwYsQIrSMNnjFD62PgATABJqAfBFiAKOepIq0f+jHzmh2lwQuQR4UI/e/R2Bv+/YPEDb5f9xdx42o09m9fh5x7WQ/VFpEEC8VmtO8WgBp1PbFzwzLUrFMfDZq1wrbV3yMx4bZ4D4mGwoJ8dOo1AH0Gj8SqRXORlnRHFCKjjFoUuE7+edVr10XAiAkoLi7C3pC1SEm4JcSFj38vNGrpi/SUO2jcugOO7glB9Ol/RJ9s8dDsRWKIvZPIproJul4cTdsCpLLWhnjwoQCMiguQMHQCTBTFUJQUAcZGKCwB6q5YDDg5o8RY6Y75pMYC5EmEeDsTYAISARYgbP3QxNXAAuQRqvRFb2NnD5ca7pDnZiNw7AzE/XsBB0LXIzdbKUAk4UG/Ke7Do1FL+PcbghOHwnD+1BG09e8Nd8/G2PPralXguqmZOYoKC+DVrDW6BgzDwV2bcfv6ZfEaNaUPoClq12+IAaPexK3rl3F412YRQ0LbyMJSzdEJbrXqomPvl/D3HyGIOaMUINL7NbFAuE/DJCClgdb1szcUAUJCsLCwCOanopDx+QI4/rgQyROnwrWDL9IjTiPWwR6NVy2CpbmyWOqTGguQJxHi7UyACbAAebAG2PpR8dcDC5AymJIYcHKrhSHjZyLu8gUc3LkB8pwHsR+SW4VLzTroM/QNxF6KwonwP4RIade1HzwaNkfYlhW4l3FXHEGygNjLXNAlYBjs7B1FEHns5fPCNcvIWOlm5dfjRXg1ayNSoEX+c0D1BJpECAW3tvTtjA69XsKRP7ch5swxlQCp+KXBPRoqAYr5oNgPfWjaFiBNmjQRblVU0DQkJATu7u7w8vISdYWoGCgJuUmTJv1nlBSsSIHlVpeuI+ODj6AwNkeRUQkoZxZQjNh69dB43lxYWpo/VSEoFiD/eUq4AyZgMAQM3QLCsR+aWeosQMoRIK616iJw3AzExpzDwZ0bhQChJsSHsTHI9arn4Ndg5+CI3Rt+FtaOkpJitO3SF/Ubt0TY5uUqAUL7FuTnCSFS3d0DnfoGikD3+LgruHXtsqiC3LBFW9g5yHApMgJnj+5DZnraQ5VxqQ/vDt3g12Mg/g77FdFqFhDNLA/u1RAJUEYlimvSh6ZtAVJZjOgzp6igELn5csjl+ciXFyB19idwmPserG2sYGNlCXMrK5ibKXO2P6mxAHkSId7OBJgAW0CUBNj6oZlrgQVIOQLErXY9BI6bievRZ3Hot00qAUJvMTYxRfN2ndCua3/8sXk5Em9eF3Eb1Hw690Ej7/b4ff1SISJAKTotrZGflytS8lJGLOq7VccewtpBWbAoi1bm3RRh+UiIuwJ5TrZIv2mkljqTcvp7+3VD+x4D8PfurSxANHNNGHSvVBAzIyNDbxhoS4B8Nm+eipFkDRWpbu+7aJYGkLaTFUMqGFraPpJ4oH7obyknO+0r1Syi16S/pfTb6rWA1PuVjkkpg9VjxT4MDtabOeaBMgEmoF0ChmwBoc9WV1dlAT9uFUuABUhZAsTUFO6eTTBo9BRcOX/qMQFSo0599Ap6HRdPHUFUxGFRcEx582GEFu27oEU7f+z6ZSky76aiRFECC0srUWyQYkbIvatmPS+80DtQxIpkZaTBytoWpubmiI2Jwj97Q5GccBPFRYUP3dBYWtugjX9vtO3cV8SHsAWkYi8GQ+9NXwLP1edJ2wKEvpTq1asnUmXT31FRUWUuI/oio5zvJPLKqqIbEREBHx8fcd2fPXsWvr6+pfZH21q3bi1cvWrUqFHmMcmdjo7n6Oj4UEIBFiCGfrXz+TOBpydgyAJEJpOJREHcKp4AC5ByBEgdr6YY+BoJkJOPCZAeg19DrXoN8NfuLaLaMMV2kEAgFysKYCcLx7ljh5B4KxbJCTeEmKA0vlY2dqjbsBl8uwWIIoLkbkVpfulJZptOveDV3EfU9ji2/zcR/F54P00vDZPSA7ft3EeIEBYgFX8xGHqP+hJ4rksChMZCwoJu9M3NzVUVZ8tbS5LFpLR9SKBI1gpyg1OvXKu+fxEU2Bv8KXrP/xCmJWW7XElZzKhPdWsKCxBDv9r5/JnA0xMwVAFCn5suLi5PD4r3fCYCLEDKFCBm8GzaCgGvTMLlyBM49NuDGBB6C2XHorS7JCIoExUFkisUJVCUKODg7CoECQWgU9xHauJtEXB+498LaNWxO1p17CmsKucjDossVwpywbqfUatmXS+07zFQuGX9s3cH4mP/VY3Q2raaEC7eHbsjfOdGtoA801LnncsjoE+B57ogQHg1MQEmwAQMhYAkQOhhi/RDD00frT9W1Xg4OzuLB0vcNEOABUg5AqRBCx/0Gz4BlyMjHhMgjbx9Qal1KTCdXKvy5LkoKS4Sbg4UKE4i4/j+nchIS0Jhfj5y7mUKt6oJHy5EcvxN7N++VmTMKikuVhuBkYgPqdugKfx6DsLVC6cRcfD3BwLEzh7tu78Ib7+uYjzRlAVLzUKimSXCvRoCAX0KPFefD2eZDE5OTqoCoVKhUKnouDJpNjcmwASYABN4HgL0cDQpKQlJKSkq8SHFnFVlAUJuV+R+xU1zBFiAlCNAmvp0RK8hY3D53Akc2rlBCAaplRdwSsHlfj0HInTVIiTH3xA3R9Y2dsjNuYcZ81bh2P6dOL7/t1IDVim7lr2jMzq/+LIQNnu2rlQd07aaIzr0GoRm7TohfNcmRJ86Kiws3JjAfyGgb4Hn6udK15YkOsjFSArQLi8Y/L+w4vcyASbABAyRQGkJL6qqAKHzIterslxgDXH+NXHOLEDKESDN2/mLNLtXLpzGwR3rkZ2VrrY3PRco/fmqd4fuQoDsWL0YSfE3RBYsihMhd61pXy7H4d+3iBofpd0kUZYsRxc3+Pcfhsy0ZGHpkJqtvSM69h6M5m074a+wrcKFKz9Prol1wX0aCAF9DDwvTYDQtaSeHYr2YRFiIIuYT5MJMAGNEpCEhrJgsomIWZVcsDR6YC11TklCKPUuN80SYAHyJAES+BquXjyDg6HrcS9TWVTwSY1S5VIq3h1rluBu8h2xu6mpGYqKCjHpoyWIPn0UR//cLmqGPHyTZAQTU6qG3kgIGLJwnD9x+HEB0s5f1AGJOh4uUvtyYwLPS0AfA88fPVd1KwgJKumaYgHyvKuC38cEmAATeEBASkGrLjyqsvXDzc3tqeopaXqNSElEHq3tJH3nPToHZb1eVj+lfZfSa5WVcpgFSDkChILQB7z6Nq7HnMOB0F+QlZ76VOutpV9XNPV5AWEbfxKZr6iRZYMER+eAYaDsWvtC1iA1MV5kxxLNyAjGRkagQHOqLeLoUh1//7ENKQk3VceUgtB9/Hvj6J5QYUXJk+c81Zh4JybwKAF9DTwv60NT+vBl4cFrnQkwASZQ8QTULSGVeaNa8WdSdo+VUXSwoKAa+g5oi9M7w5BZRorf/Pxq+L9PpiMlOgzrQyKEIKLXAl/ph04+vpDJbHE38QY2r5mGs9ecxfa0Bs0xtpE1QnYeE5YqagUFdpjy7mj8/tmXuGVjg+FjxuDIDz8gwdZWBYG+MzPreeGdXt1ghnyE71mCKzcdNS5EWICUsg6FmdFUmQWLBEhC3FXh8pSemoS83GwUFykLDpbVWrbvAs9mbbA/ZK3KakKxHYqSEiEs+gwbK7y3Tv+9R8SIFBUWioKDVAW9pV831KjjiYgDu/Dv+ZOqY9GYhDjpFiAqrUcePSAECMWlqMemVOaFysfSbwIpKSkifWxVaOqigwVIVZhRPgcmwAR0jYD6k/HKekpemQzoJp6sH5o+t1SvFlg7dTyuRe3Dtz+FPhZrQt9hvoGvYFzfLjgaNh+rQi4hs0krrJs6ETeiTyIs9GtExDRG0LggDOrSCCsXjRYi5E7Hrgiuno3Vv0aIdO7USLS8FTwK++Z8gRizJpj79avYOP0D3LK3F+dJxxox/k14u8uwdcdGpKbaof/I/rh8aAoOHq+pUUsQC5BSVje5QdHNPsVbtOrQXcRZJNy4KiqVnzi0G+kpieVeEy18O8OzWWvs374O2ZnKuBFJgFARQnevxugSMBy2DjKkJcUjIzVJVEKv5dFApO6NigjH1QtnRHpfqdGY3Gp7wL9fEDwat0RGajKS4uOEheVA6LrKvEb5WFWAQE5ODsj9qio2FiBVcVb5nJgAE9A2AU3fmGv7/Khgq5WVlcaHkVK/BT7v0xpptm5ICJ+CvcdrqSwWdHCyZMwb3AHx2TVhEr8B3/8ix6Kfp+Ha38vw46ZIWFhYCGFAdaO8h47FyBbWWPD+Qlzo3h+LfFzw1ZJNDwmQScGjsP/jzxFj1gxzFozE1qmzccPBQQiQ+Pb+WNGrORa/+xWSrKzEa2n1ffHTm32wfPIHiK9WTWM8WICUJkBMTCFzq4leQ0aL2I0ShQI5WelIT0kS9Twec8UyMnqgmBUQMRz0c+7YAchzspVHIKVZUiL+NLewRPU69eHVrA1krjWF+qU0vSl3buN6TKQQJcKX/f7+9B5Kz+vZtLVwzyJ3LlHYMCNNxJgc3bNdYwuEO656BChYOzk5mYO0q97U8hkxASbABJjAcxCozKKDJEDmB/lhw4aLGD+5M1a89T5u3w96J/esqR9OwskN0+A6YAlc7uzAZwk1sbZPQyycNQ8ptrZCrJBQoPvE3FwnTP9yBuQXN+OLeDd819YOny7aoipom5tbG3MWjsSWKbNxxqczlk8ZgUNbdyExORlZRUVoExCEexFT8MfxWirRQsImaEowsk69g/0RtTVmBWEB8hwLld/CBPSZQFpaGvLzH1jX9PlceOxMgAkwASbABP4rAaonRZaFymgkQL4Z2hHLZs9H5+BPUe3On1gTEimEBVkkFvo44+OvwhH89XTknF+HuzUDIYsPRXikBRp5e6CBuztsZDLIbBxFLEh+fhb2bf4Zca5+mNzPX3UKOWlpkCusYG2dikVjZuG0T1csmzIMmdfuoMTBATVcXWFcnITFo2cizvFBzAd5Edzy7Y4lbR0x77utGktHzAKkMlYbH4MJ6AgBuVyO9HT1dNI6MjAeBhNgAkyACTABLRCo7KKDt307Y2XPZlj8/te41NwfP07qjxVvBeOapbsIPL+w9w3sOuyNmZ9NR96FNbhTcxgcEo4jNilPFbeRk5CAu8XFkEdHI97cXIiExBf6YKmPJWZ/vUWIGS8vLxgZOeGVaUNx4NsJ+NOsD36Y0B9rxs/CJVtbFBTUwOSPhiP84y9ULlkS/tvtu2BRGyd8uWSzxqrBswDRwmLnQzIBbRDQ95of2mDGx2QCTIAJMIGqTYCKDkpB25VxpnRzv6pHEyz64BukWFpi6NRg2CbsxYJzxlgwrD2WfbgAiea1MG3uTORFrcGd2sPgjSjMXfxwwLqUnjenRg10c3fG7hQzLHi5DZb/bwnSbGzEqeTlyTBlzgSc3Tgd4dHt8MmS4dg6eTbi7O1RWOiAqR+9Kdy9Tt18OPVwsoc3vhnqi2UfL0bG/b4qmg0LkIomyv0xAR0lUBVqfugoWh4WE2ACTIAJ6CEBbRQdTPHwxvyh7bD8o8W4a2ODe/dq45MlI3D7ohymeeFY/avSHSvw7XfRWHEBE0+UYNeY3lg9/1WcinMR26RkK6meLfHL9AmIjzmId3+PxU+T+mLFW+/htoODmA168Ej93Ds5BaEHO6kEiBSE3nbwSDRRnMeqX8+oRBj13TZwFHpUz8RnS7azBUQP1zUPmQnoDIGCggKkpj5dHRudGTQPhAkwASbABJiAhghQILc2ig5SDMjScQFY+dZ7uGlvL8REq8DXML6HN1bPGyWsETS2oLdnoZUsEwvfXYDaoydjcr9OiIk8hojIyzAzs4NvZ18RD3LhxDasXxSCOEVTfPrtcGyZPBs372e5or4D356FrBNKAfLV0nH4c+lEnL5VXRxDLnfAtDkTEX/kN+w4fF4EnKd6tsba6WOxZ+1A/BlRm2NANLT+uFsmUOUJ0AcQiY+qUvOjyk8YnyATYAJMgAlonICdnR3op7JbXp49xkzohz0/rkT6ffcmpctTWyz/32LctbVVpsOt7YXAmkbYfzRa/J9epwlmDgqAZ3VHMeRbt2Lw1++LcS7WXmWlGPT667h9eD7Oxrmq4kW8/fujpWsSfliTjPkrZuCfTUOw/0Qd1Xa5XIa3Zo5GmybuKIQZbC0scO5kKBZ+v0ME5msq/TK7YFX2yuPjMYFKJpCdnY2srKxKPiofjgkwASbABJiAbhKorKKDpZ09PRQk1yi6sZfiOOh/SpFPr1FAOTVRjkGhUO0n7UP7URNFs01MVGl56TVKoUtN6oP+pv2pn8JCZwyZOBBXDizEv7edVMKCttE+9JDS09MTV65cEe+nuBhpfJqYRRYgmqDKfTIBHSHANT90ZCJ4GEyACTABJqAzBOzt7UHxH/rYpPiPZ7VMSMKHzpmEy6NNvYjvs/b9PBxZgDwPNX4PE9ATAlzzQ08miofJBJgAE2AClUKgMosOVsoJ6elBWIDo6cTxsJnAkwhwzY8nEeLtTIAJMAEmYGgEZDIZqPYHN+0SYAGiXf58dCagEQJc80MjWLlTJsAEmAAT0GMCFFRNVc+5aZ8ACxDtzwGPgAlUOAGu+VHhSLlDJsAEmAAT0HMClV10UM9xaXT4QoD4+fkpNHoU7pwJMIFKI0DBY1T3gxsTYAJMgAkwASagJKCeYYqZaJ8ABcL/P+yxOam2niMDAAAAAElFTkSuQmCC">
          <a:extLst>
            <a:ext uri="{FF2B5EF4-FFF2-40B4-BE49-F238E27FC236}">
              <a16:creationId xmlns:a16="http://schemas.microsoft.com/office/drawing/2014/main" id="{00000000-0008-0000-04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7</xdr:col>
      <xdr:colOff>19050</xdr:colOff>
      <xdr:row>12</xdr:row>
      <xdr:rowOff>19050</xdr:rowOff>
    </xdr:to>
    <xdr:sp macro="" textlink="">
      <xdr:nvSpPr>
        <xdr:cNvPr id="3074" name="AutoShape 2" descr="data:image/png;base64,iVBORw0KGgoAAAANSUhEUgAAAyAAAAHCCAYAAAAXY63IAAAgAElEQVR4XuydB5hc1Xn3352Zndle1buEupCECpJAQoCE6B0cbBw7xHHi2JAviZ3gDjbYju24gE1wd+ICmGaqkCgSAhVEEaj33tuqrLR1Zne/5/fePaO7o9mdsm1mdQ7Pot2Zc0/533PPff/nbRmXXXZZg9hiEbAIWATOMQQaGhrk4MGDwr+2WAQsAhYBi4BFIN0QyMrKkpKSknQbtlRXV0uGJSBpd9/sgC0CFoE2QuDYsWO6EdpiEbAIWAQsAhaBdEPA4/FIr1690m3YloCk3R2zA7YIWATaFIHKyko5ceJEm7ZpG7MIWAQsAhYBi0BHIdC9e3fJzMzsqO7apB+rAWkTGG0jFgGLQLoiUF9fr2ZYtlgELAIWAYuARSAdESgsLJTc3Ny0GrolIGl1u+xgLQIWgfZA4OjRo1JbW9seTds2LQIWAYuARcAi0K4IpKMfiCUg7bokbOMWAYtAOiBw6tQp4ccWi4BFwCJgEbAIpBsC6egHYglIuq0yO16LgEWgzREIBoNy5MiRNm/XNmgRsAhYBCwCFoGOQKBbt27i9/s7oqs26cMSkDaB0TZiEbAIpDsC+IHgD2KLRcAiYBGwCFgE0g2B/Px84SddiiUg6XKn7DgtAhaBdkWASFhExLLFImARsAhYBCwC6YYA2g+0IOlSLAFJlztlx2kRsAi0KwJshuQEscUiYBGwCFgELALphkBGRobmA+HfdCiWgKTDXbJjtAhYBNodAZsVvd0hth1YBCwCFgGLQDsikE5+IJaAtONCsE1bBCwC6YVAWVmZ1NTUpNeg7WgtAhYBi4BFwCIgoj4g6eIH0ikEhJPGaIXPjeooXVRIdsVbBCwCXQeBiooKOXnyZNeZkJ2JRcAiYBGwCJwzCKSTH0i7EJDrr79ebzaNm4JayKSJLykpabIY8vLyxOfzSSgUEhxBly1bJh9++GHa2LGdMyvbTtQi0MURqKurk0OHDnXxWdrpWQQsAhYBi0BXRQA/EPKCpHppUwKCBuOee+5plRc+JOQb3/iGxjIGQKsJSfUlZMdnEehaCJAPhLwgtlgELAIWAYuARSDdEOCQn8zoqV7anIB8+tOf1on36dNH5378+PGzMCDUJaYO7jJ8+HD9c+HChTJv3jxtw+v1WgKS6ivIjs8i0MUQsFnRu9gNtdOxCFgELALnEAK5ublSWFiY8jNucwKCCcOcOXNk5syZOvknn3xS3n333bA2I5r/B5/9+Mc/1vpr166VP/7xj2ECkvII2gFaBCwCXQqB2tpaOXr0aJeak52MRcAiYBGwCJwbCODu0L1795SfbJsSEGYLmcB84bvf/a5O/p133pHnn39e/T+aM6ci+/B//Md/SHFxsRw+fFjJSCAQUA2ILRYBi4BFoKMRsFnROxpx259FwCJgEbAItBUCvXv3TnkLojYnIICHFuSBBx5QHDdv3iy///3vlVA05xQDAfn3f/93KSoqUkf0r371q6oBwTHdFouARcAi0NEI2KzoHY247c8iYBGwCFgE2gqBdMgH0u4EBB+Q73//+y1qNCAg+I6cd955ij0+IEuWLGlRa9LcTcL8a8iQIfLoo4+mjRO7MUtza4guueQSGTRokE6T7MwvvfSSstm2dso3gQN27tzZbn1E3qu2vkeR+HVl7Npqc7LttIwAfmqQkK5eupeWSmlpaVefpp2fRcAiYBHoNAQw6T1SVtbm8ltLE0qHfCDtTkCqqqrkvvvuk+zs7GZNqhAgP/WpT4UJCH4gjz32WDgSVryrhnYw5SKs7+LFi+W1116L6cge6ZOSrIBPO5MnTxaiD5g2IQ4rVqzQ4TfXLnWJ+rV+/Xp55plnlDT9wz/8g/Tv37/JtNEMffTRR0oSokUHu+2225SwPf744wkRlRkzZsjs2bNl27ZtqqlC69Se4duau0dMdtKkSSoMUccdttkAEUnEzjXs4n0ObL3WI8ChCGZYXb2MHD5cRg4blnbT5NlH084Pe2Ndfb3+Hm0/93o8+h7w+nzi418b3CTt7rcdsEUgnRHYsHmzbNi0qYkcmKysGS8O6ZAPpN0ICKTDmFBBCgwBiQY6L40rrrhCEIYpxg8EMyzqY571k5/8JKZgjdDw7W9/W9t466235NVXX1WhPFKgpj8Edmzk3GZekCWSkG3ZskU++OCDuARxhOZhw4ZJ3759lfhElt27d8tvfvObZl96ZswQpvnz58t//ud/qikaNwYBCIdYFpLRhqxatUqeffbZJiSE+XzlK19RszXaef311+PW/tx6660yduxYnfPvfvc77StR3xv6b8094h4Yk71YDxe4oB1jnhTudzpjF2u+9vvOQ+BcCMebbgSE/ZJM9dU1NWeRjXhXCu8UTIKzWjALjrctW88iYBGwCMRCYP2mTbJ+48awDNsRCbeRe8kHksql3QjIF7/4RRWkKZzsc3rfkiM6BGT69Olan5Pu//qv/1LS8slPflJGjBghX//6151TrBYc092+J2+++aZqQEw+EXMTMM+5+OKLY8ZIRtBnkSDsRzN9op1x48Y1yXlC+E5IDKVHjx7h+3769Gk1Q2PskWTIzBvCRHs44u/fv1/++7//W/s19dFSXHPNNdom80IIN1hEEi++bwlrMzCIA6ZvmKxBQH77298m5fz/8Y9/vFX3CALy4IMP6rA4zQRHd2GcYEE91IoIhg8//LDiwZpJBjujReps7FJ5czjXx8ZhRGS48K6GSboQEJ7T0xUVUbUcyd4Ts7/m5eYmfOiSbJ/2OouAReDcQ2DNhg2yfsMGleeM7NEeJvWRyBIJyyQAT0XU24WAuJ3KmTRkgFN5yEBzaicETyOEQkC+973vKQH5+7//exWQv/zlL4dP55trw5gTmT4jCQjfX3rppSrIMnFyjjAu097f/u3fyqhRo7RfU95///2zzJ7c7VAPPxcI1osvvhgmDBdddJH2ZYgIdX70ox+dZeJ0xx13yMiRI7UNQz6oB7lgnIZkQK4wUxs9erTWhaAY7Y5biAZrND8tOf27CcjnPvc51QQRLAANSKLRx9wkJtl7xBy/853v6LAWLFgQxrG5+wwuzB080hm7VNwQ7JjOIMAewV7UlUuqE5AGEcEfB01wtBDubXFv2Gf8mZmSk5PToTbabTF224ZFwCKQ+gisWb9e1q5fr/uLOYjuiETb5AIhJ0iqlnYjIP/8z/+sgi0lnkhYbu2FISCYFEFAcE6/9957lYAgfDYnmLq1KJgEcb3RgLjNlNBSICzTltvnwdgVcy0mVRQ0A//7v/8bFvYxubr66qv1OkjTxo0b1cTKtGUIA23x/d133x02n8LPAx8NMwe38E5fnPwb0zX3XJkv+BDe+P7779d5Ya61dOlSXcwQEGPClCgB+bd/+zfVVBkCQtuJ+IC4/XeSvUduAoLPzBNPPNGs6Rw4mZPLu+66K+w3lI7YpeqmYMflIHAu+IGkMgFh/0TrwX3oiMK+l5uTk9Inhh2Bg+3DImARaFsEVq1dqwSEPSaSgLSnLwjyHH7JqVrajYC4o1oRYekXv/hFi6frzREQ/EcQ2LH153Q+EQKCJsNoXYyvAzcCzcfLL78cbs8I3AjTvOwQ9H/wgx+cRZ5YKEZg5+UICXjjjTf0hWV8J4xazd0W5mhoQrgGh3NTN9L5nnHNnTs3HILYTQQMOfrsZz8rAwcObEKM+M4QENpA8xOPBsStqYqHJEZbxKaN1twjHkij/XJrYqIRIWOOZcibiZyWjtil6qZgx3UGga7uB5KqBAQ/j4rKyk5ZijnZ2TFNdDtlYLZTi4BFIC0RgICsXrs27EZgSEh7m2HRT8+ePVMWs3YhIAiHCPz4NFDQaOADARtrzocDAvK1r31N67g1IAjsaCwwyTLXx6MBQeiHgBj7t3vuuUf9NTgpp03aimZuFOkQj0CMbwT10XzgP0LhpP5Pf/qTtkEf0YiRISGYD2BiRB3I2K9//euwj4YZF3PEkdyQpmg40R6+IPifuMMbM55kNCBtRUDI22LuUSIk0dwjiAY+PmAcryYGLNIdu5TdFezAwgh0dT+QVCQgmFxBQDC/6qyCgzomWbZYBCwCFoHWItBZBIRxQ0ASDSzU2vnGe327ERB3VCuEfgTklkLxuoVhQ0AQZsmoTlQsfB5iJSc0Jlj0h6mSm4BAOiAACLi/+tWvtK1ojtqRZlE7duxQ7Q31v/CFL2hUAYT/b33rW0o+DIlpKcwu5IqoWxdccIHeF5ym0ZwgeJsEjPTz85//PDzm5qKFoUUx/hJEzDKRwjqTgKCdas094uEwQQvi9UVxr5d0xS7eh9TW6zwEODwghntXLalGQNqTfPAivnjGDHnu2Wdj3s4MEd3bLQmJCZWtYBGwCMRAwBAQZD7j2+t2Rm9PADGxT9V9rF0ICGC6/TH424TibS67eUsEBD8M/Cxa0qDQB07JOKxTvvSlL6kwT3+QChOeF1MdTKeaa4u6xsyKdkxELuobM6Fly5ZpdKyWSAzXGqfJK6+8UsnOlClTdGwI6z/96U/1MyN4v/POO/Lcc8+FzcKaW5BuTRFjwPmdhWwIyL59+1QbQRI1ThEZPyGFo6n62kIDYkznzD0yGpDmxh/tHjH+f/mXfxEiNoANTvix7rV77OmKXXtuOrbttkGAZ5hw2O3lAN02o0y+lVQiIOxXEJBkNB8E8Jg4aZIUFRefBUa/fv2k/8CBgkNmVWWl/L+7744bMN4h2VlZcde3FS0CFgGLQCQCnUlAcEJn70vF0m4EhPCokBBTIASwsHgICEL0Qw89pAI6plfxEBAEhM985jMyYMCAswiI20nb+Eg0l++Cut/85jfD4zQE5KabbgrnKfnXf/3XsPYD4fmqq67SBHrG3KugoEAF6Gh5QRgciRb//Oc/a31wgaHG6zyOwG9Iy6JFi8I5Pww5irbI0JoQ2hcSZ8LAUa89CEhLxIF75E6yaEgiGhDjM4R2yURAa0lt6B57stiZRJWdhV0qbgh2TGcjgAYETUhXLKlCQNijyiPCb8eLd/8BA+Sr3/hGXM7jL7/4orzw3HPxNq318vPy4mo7oUZtZYuAReCcQaAzCQhyJoe7qVgSJiAIin/4wx90Li1577vD6lLXrZGIdl2kMIyw7CYgsXJURIb+dfuAJBIlyoTyZfyQJWMOhuBMiF60CytXrtTwr+SkaI5QRd5sBGtO9zZt2qQO8EZQNwTkww8/lKeeeiqm8zhzwfeBBbVu3TolMu4oUowPEzQ0IBTqcTpIYU5cYxIZmgSCJgoWmdDjcV53zy1SA9ISAWnuHoHhJz7xiXBIXczujPaquYfG3Va6YpeKG4Id09kI8DxF5qbpKjilAgFB41F+8qRmM0+0YFb19fvuk+w4/DXYMyAg69eulW3btsXdlScjQ08Q2zNaTdyDsRUtAhaBtEOgMwkIYOE6kEh0044COCECgsCK7wP+FO6EKtEGG6kBgRAYDUg8BATCAQFBGMVx+9FHH23RLMedC4PxRBIQ4+Aey8cALUr//v3VyZyQu4aAfP7zn9eQr/yNNsGE6aUvHFXdJ6R79+5VSCAD7jwjBjOTx4I6ZlxofX72s5/pHFtaKMzTaAtM9nLaM34hEJz/+Z//aRJe+M4775SJEyeGb5PJlm5wagsC0pp7xPjnzJmjGiaIWrwEBOd38EpX7DrqIbf9tA6BruwHkgoEhIMZMpsnWtA63//gg03yNsXTBi+9xW+9JfPmzo2bWAb8/pSOpx/PvG0di4BFoHMQ6GwCwl7J4XKqlYQICEIiUaDee+89TRYXb0hcJp2oBsRNQBBKyYze0um627eA/tzJDyFOJi8JJ5mY3ERry5hfQRxIQDhr1ix9QUG6cECHgBCiF38W48AezTbc+FsYouV2NnITN7dvCn2SAySWo72bgBgyxVgMAYEg8bs7wheaD/AZM2aMrj/mhJkT989oYJINw2s0ILHuUaRzv/seMX78ZCCtjJUcLS2Z63Gtm3CmK3apthnY8URHoCv7gXQ2AeE5PllenpCPDfvFJTNnyk233CI5SSTZ4sDo1XnzZM2qVXL40CGpb4jtdcJeXpCfn7LRZOyzaxGwCKQuAp1NQLDW4SfVSkIExAibaACI2GSS/EVOihf2xz/+cTWpobgzm8fjA2IEa+pyGm6iaDUnnEf6bRjh1mRC5+/rr79eLrzwQh0PvhNEoXITKENSUFVhpoQz9OWXX671EdLJv4EJFgVTKTQkZi6GaET+a3BpLtaz2zTMjAuNSbToXKatSAICUeM+uAlIpA+FyW0C8TJjJoIWJMUkeow3/G3kvTZrItY9Al8Ticy0AUk094gxGl+MWGQ1koCkK3apthnY8TSPQFf1A+lsAoLfB4cOiZbPfeELMrlxP0/0WuqzH23dskV++qMf6aFSPAVT18KCgniq2joWAYtADASyPFlyXs5QGVdwgSwse0OO1B6W+obEzTCTATpDiHMn4vP4pHegj/TPGiA9A70kx5sj1fXVcqTmsBysOSibKjYk0/xZ13Q2AUnVhIQJExCiFeFTgOlQcxGP2NzREhgnbEySHn744bjD8GLT/+STT6ogjvYBoZn2DAFxm3C5HZs5CeeHzI/G0ZsxmkziJtcEwjLExu2IbhIV8jJEOL/55pvl0ksv1YWEOReO5vxQjLbATcDisQ+mD0gM80GDhJbF7QCNFoEEiC35YSCocw/IaWJylDAO8MGUihIt4hjzYh7GH2TevHmCKRa+LWh2YpmmNfcUQkBM9vbW3CN3MsVkCEhnY2dyxaRqvO022UXP4UYqKirU1LKrlUQIiMfTIDm5VdKrV5mUn8yVgsLTsm1rf4XE662XUMibEDzJaD9MB5dceql8+q67EurPXZn95ucPPSRrVq+Ouw32eAhIKtpSxz0JW9EikAIIeDI80i2zu1zd/TrpEeghfz34jOys2h6VgEAWqF+SWSI53jzJ9ebKzqodUlXnJCptiIibR/2MDI8U+YqkKLNYvBleOVp7RE4Ej4fr+zJ8kuvLk2lFFysBORUq1zZPh05pXyNyRyoh+dXuR9sErc4mIOxZHK6nWkmIgPDCQIgeP368rF+/Xh577LGop/WRIXiJPPXqq6+26N8QLaoRgjoRp3CkNhGfIrUDxiwMYOln+PDhQthFk33d+FTQPuMiiR8FLc4jjzyiZAAfCaOtMXlCiHo1c+bMMAFByIcM0R4nZsZ3Ix4ndF525AEZO3astgcZeOmllzQ8LmTHEAe+I6zuM88806wWxK3tcROQu+++W3r37q3tRxPgIx3AjfYBzQ4EJN7wt5EL2O0Un+w9MraJJroX428uxLHpP3I+6Yhdqm0GdjzNI8AzT1b0rlbiJSAZGQ0SCARl8tS10q3bCSk7WiTl5bmy6qMRConfH5Ta2syE4OHlU1lVldA1pvLsOXPk43femdS1XPTu8uWydPFi2bB+fUJtsFflxuHwnlCjtrJF4BxDwO/xq/A/u9scqa6rkScPPKYEIJoGBEJQnFkiV3a7Wo4Fy1R7uezEUiUL0Qr1C3wFMqfb1XI6dFqCDUFZXb5SDtceClfn+5kll8uIvJHywYn35KPyFVJVVyWhhpAeWF9eeoVcWDhFvr/tO21yZzqbgDCJVExImBAB4cYjPBtTGjQKRotgNADUIaM3AiQF8ytO+U2G7+Y0BZEEBNMcQw7QGkAofvnLXzbRDriFcRyRSVb4j//4j+rrEOmTYMZ+++23hxMCRq4sd5Z0TLYMWUEw5sVzyy23hHN5GD8KCJHx8Yi2UiNDz1IHDc8TTzyhJOPee+9VAoKAY8L4Qu4ef/xxtTd2n7ZF+lGY8LNcd9dddymRoEQjAia6lxkjCRC5R4aAxBv+NnKO3APM7Vp7j1gXJiljogQkGewMKWb9urEDU8zz3ES3vbBrk53NNtJhCJAPhPXelUq8BASCMXL0Dhk0aL989OFIOX/cFjmwv7us/NAxs/UHglJbkxgBIVJfPP4X0fC+/W/+Rq665pqkb8WzTz8t8195Janri4uKbESspJCzF1kEHASG5Y6QGcWXSL3US5GvWJ4+8Bc5WHsgKgFBi3FpyeWqwcAsanjeCFlUtlC1FtFKvq9ALi6eIXUNdbK1YouMKxgv7554Rw7VHAxXn1g4WS4qmi5vli2QrZWblXggX6E9yfbmyA09b5KhOcPkO1u/1Sa3LBUICJZBRi5vk0m1QSMJERD6w+Tm7/7u71TYjRTC+R5nb6PqQTCESJD5O1bGcDcBQQOAjwVCIJGo0EZAfEzUI2PmYsy8GAe5OxAmb7jhhjBxiDRFog/aoQ5aHEgRBbOtPXv2aPQo2uDnjjvukHHjxul3EC5z4xBWhw0bptfRFqeimFK5k/2xkNGeoI1BK+HWkjAvQucaJ3hjOkX0KjQ9LBIKhGD37t1y+vTp8G0mxwkRuijG2dyYpTEn4+NiHPCNEA2RwpzMjIO+fv3rX+sYiPpliEusZJHR1htzJcLWjTfe2Kp75M4KzzhYL7F8YQxhSVfs2uD5tU10IAI8c2yYXanEQ0B8vjrJy6+Um29dKCs+GCVbNw+Ua65fIjt39JEPP3D84gKBWqmp8ccNTaiuTsrLowsQ8TTSWgKyfNky+d1vfhNPV2fVwRk9Hs13tMYHDR4sAwcP1ncPhy61waDUVFfr3qn5mvbulSOHD8ftl5LIBMhP5fX5pLKiQopLSmTAoEFCiGHeYXv37JHaxkhk8STdvHDaNH1XsW8jE/Ce5H3PO/bIoUOyf98+TYTb1oX3QmFRkZpDEqhkyNCh+r4+ceyYHlKCJeM3c2B8vOd69OolAwcN0s+3b92qwQfAO5EDBe65hopuaNDDQdri+ky/X0aOGqVh9rdu3uwcGmZkSEN9fZPgCnxOzpoePXvK++++GxMa1kq/AQPUlJ21Ar7sP4wbzA/s2yeHDh5sl7USc3CtrIB5U99AXzWRGp13vjxz8C9yOMIHBDKQ6fHLxIJJcl7uUHn+4LPSK9BbLiiYKK8ffVXKQ01NYqnv82TKyNxRMqFgorx0+AXBz2RGyUxZfOwtOVhzIDzqq7pfK5hhvVW2UCrqKsJmXJkZmTIoZ7Bc0/16yfPly/e2fruVM3UuTwUCkooJCRMmIDx0PAiQAR4MGsB8h4eiR48eYb8P6mB2hTBshORY4WVNpCoICFoCBFDjHN6nTx8lPOTgICb76NGj9SVAv3/961+VBLAR8aAah2y3KZJZRUYTwvi41r1RsanQJ/8SdhfygGaFrOW8MBg/133sYx9Tcyr3SwgcjHDiNqky/bJBk7Eb0yu3cG3MjjCnggAhVA8aNKjFRW80NbRjiB3mZZzUU4xmBG0P5mhu2z/8cdAUMZ9IzUk8vhfRBsZmyL1rzT0Cc+bOJg7exr8oHo1ZW2JnElV2FHZtsrvZRjoEAQ4DWiM0d8ggE+wkHgJSUnJSLr18hZw+nS3Ll41TonHzbQtl+7Z+8sF7TmS9rKwaqa6OP8xjTW2t4FeTbGktAdm2dat8/7vfTap7BN+sJENaTr34YunXv7/s2L5dvB6PBLKy9L3FXszvCJQfffBBOKw7+2Jpt27SvWdP6dW7t2rLee8ggK9fs0YOHDggwcYkmd26d9e6/Jh3Fftn2dGjsmXTJhk5erTuq7z3Bp93npw8cUKJQ+8+fbTf1StXalvs57HKdTfd5EQQq6vT97s/ENB5+DIz5fSpU7LivffCh2eMBdLQvUcP7Qvyw1yrq6pk04YNsmPbNp0v7+KCwkKVI0q6ddOx6twyMpTMgAvC+4hRo+Tg/v0ybMQIqaqulvITJ6Rbjx5SFwrJe++8IxWVlfo7cwcriBZ1kVd4fzO+DQSagYQw14YGmTZ9uvpH8v6hDmPZuX17OEoaZAKyA04VrkNB+mA9zLj0Ujl44ICs+ugjvU9cf/TIkSZYci9nXn65jun1+fNjQSyslT59+8qunTv1firOZq0EAtr+B++912StgC0YMQZ+py/khQ1r18q+vXtTJqGqRzyS5c2WKUVTZUzeWHn24JNnERBfRqYMyRkiY/PHy6pTK2Vn5Q4ZmD1QJhdNlfmHX5aTEQQEX48+gb5yYdFU2VqxWTZWbFS/kVmlV6im40DN/jDm1/W4UU6FTsn7J9+V6jrHDBTTrRxvrswqnS2Dcs4Tn3jlxzt+EPM+xVMhFQgIawff4VQqCRMQBs8GZfwgooX24qSQaE6E6zXCdizHPXd0J+MgbUyS6OuBBx4469TJCOI8ZKYfY6Y0dOhQdcbm8+uuu04Jy09+8pOw6pz+zI8uPo8nbPJEGyYbOqThueeeC2ssTEQpNkwEZuzqWjoNY4wIyH/84x+1ntlA6I9+zCm+8T1hk7r22mtVy8JGbDBgjNE0NeZ7o4Uw9Yx2xyw2XjobNmwQk9DRmM6ZBIDUc+dOicep3rRtMEn2Hhk/HczRaMNNBJt7WNwas0Sx05d9o4aF9jsTu1TaDOxYWkagK+YDaYmA4PeRmRmSC6eukyFD98grL10iJ0/kS4anXm69fYHs2tlHCQklO7tGqqriJyAIia05IZ84ebJ8/u67k16yv3jkEflwxYqkrm9NTpBxF1ygwv+rc+eG589eRCLFQUOG6H6PEMtJPkL6kPPOk8FDhkgwFNITb0gbAi8n4+zxhBLeTlLFhgYZPnKkFBUXhw/LSLjI+wfNBu/QSVOm6DsFszcEfzQVvMtLSktl1Jgxsm/PHiVG8dyXK6+9VoV9SAzvMd4nhESGBCEAr121Ssk62oG+/frJ8BEj9Hc0IxAGNDEI14wXjQRjZSxoKSBbtIdFwIr339c+EFR4/iABY8ePV6KwZ9cu1dxAUiAuYEuf61av1u95rwwdMUKQBTZt3KhzM0QCErNs8WIhuh0kavaVVyp52rR+vcoFY8aNk1Pl5UqkwIPPqGNCN5uFo4EJiorkkssuU8LC9+AM6du7e3eTCG+816685hq9F2+8+mrMtcd8IE8LXntNyRo4s1bAGU0Ka2bVhx8qNnyOZjzeL50AACAASURBVO28oUN1rAf279d7zxoB/9y8PMUYDY1bQxRzEO1YgYhTFxVPl1F5Y+SZA001IJAJvr+q27VKHD4sXyE1ddUyOGeITCueLnMPvyAngk6yZUMesj3Zjt9H3Wl55/hSqaqvlB7+nvrZgrLXZH/1vnD9q7pfI/2yBsjLh1+Q48FjanqFNmZiwWTtgz57+nvKL3f/T5sgkAoEhLVq/ITbZFJt0EhSBIQFbEgI+SU4+aaYTN9EeGIj1RMRn0+F/lgCrTHl4YSHTOHmWtrlgZowYYLmiTAC944dO5oV6nnAMQlCM0J9Y+a0atUqdfB2RyoyGhAzRrefBQK/cTY3Ea/Mw8v8Eerpi9NyEr3QlwnpyMZGJC/apT9wMD+mL7cQbXww6IdCO/Qxbdo0Za0vvPBCuC23gG6IHXXNWN3rwpAW43DPGPkxpMkI36ivqRMt0lisdWZU0a25R8yJOdCWIYMtrZmugl0sbO33qYMAaw4/kK5UWiIgPl9I+g84JNNnfiTLl46XXTt7S12dR/z+kNzysTdk756esuStidLQwClwtVRWOn5/8ZRkw+/SNkIWe8OXv/a1eLqKWueRhx/Wk2X8UBItaC7QwidTLpg4UQnI6/PmKZlQu/OMDH3fIRRnZWcrAYE0UG/ylCk6xpUrVsixsjLdIxHeMafi1J33BII0wjJaiEyfT0/7EfY/fP/9Jlr+6TNnqvaFU/NdO3bod0ZLQN+9+vSRd5cujSs54zXXX6/tcApv5sA7BVKBwLt29WptBzKCuRbze3/58rDJEHs8gvSESZNUK7JowQJtCxLg83qlb//+MnTYMHnzjTdUwDbv6fPHjZPzx49XQRqiwfuNQt89e/cWiCn9oI1ASIcMGC2LIVYQBnClXeaAcH/5nDkSrKmR1atWKSaXzZqlpnAQIKOdgTx8tGKFfm4KdSFw3Au0TAj5l86apfhCjkyIaerx3kVzdOL4cZ1XrMJagVQsfP111dq418p5w4ZJfkGBEhDmBVFhTlWVlfLhBx8oAaJv3qt5+fly8YwZiu3iRYtUewbp6uwCwZhefImMzBstTx94ookGBNMpNBkDsgbKa0fnS1nwqA6XsL0zii+VFw49K8eDx8OmUwFPQMP5jsu/QF45/JIcqnX2aUy2iLT1+tH5srdqT7g+ZlyzSuco0SD6Fv31DvSVUENQNp7eILm+XBmbP05+vfsXbQJTKhAQJgKpdx9qt8nkWtFIUgSE/ozQaQRlo7Y1wiMbQqQTdUvjNO0Zm0zTjunLEB7+pU6kYO8mEIYgcS3tmChXTPb+++9vkqTPPSauc0erwhwHbYzx14gM/2s0KMaW1JATU88kHTQ4RDqru7U+hoCYvvjOzNVsPLRr2ozWFveChH4GQ5OJnbpuAuS+1uDKHKgTy6m+uXvoJqWJ3iPwYW5u/BLRmMXCzqyDVMWuFc+vvbSDEcBePt68ER08tKS6a4mAFBadliuuXC6HD5XIyg9HCKHzPZ56jXg156rlcvRokSxeNElqajJVA1JR4fjUxVMQgtSePonyy9/+Vk1sELhbUxAmH33kkaSaKCkuTuq6KRddpILxa6+8oiZKRrBmLmPOP18FdQhIhscjM2bOVCH9zddfV7LCvm7eBexl+DVcOGWK7Nm9W02KEETZvzm9R0uz4oMPJNRoTsRgZ115pWpKENBNe3zO3gtpmDx1qrz95ptKdGKV62+6Sd5bvlz9R9AqUHh/oJmB5Kz+6CPNbg9hgDAiRKPJMIdM5n2N8H7RjBn6HYIz5k18h4ANkWLubgICmcGkGOKA6TfrwMwB8jbn6qvDJ/3GTwVy49bqgFH/gQN1bGCBtuCqa68N+3BA/DBhog+0GOZ9arQ+EAhTGCskCxMuTOK2bN4sc665RjUpaHsMAQEb7hfEBlOotxYujAWxsFb69u0rC15/XQlmeK00klW0GhBTxkBdsDRkJXKtYP5GHbRoa9esUaLS2SXPmyczSy9XZ++nDjzehICMzBulBGH+kbmaH8QJxevVfB1oTeYeflGO1B6R2nrHzwitxezSK+XtY4vkQA2ajgwNv9vd310uL50ti8relF1VO6S2vlZJSKGvSEbljZaBOYPVFwQzrB1V22V31S4pqz0qkwov1J9fdSENCDhxwI8GNVVK0gSECRiB0Sx2sxEYATeW1iMShEgBPlLgNyTFPIhGoIzWj6lDHyZyF8I9pzILFixQHxMzTuri7H7RRReFbeT43jiLG6E82k0zY3arNd3jMRttc2NEg4QTOEI0uUlQmRrtRKSq1LTRXFvGyT5yk48kQNGIlPvFluh9M7hEWw/x3iNDQMwaivWA0Fci2Jl2UxW7WPO136cGApxGo+ntKqUlAjJy1A51Nt+8aaBUVwUkK7tGyUemH83IQamqDMj2bf3lyOFiObC/m+zf1yNuWI65hLi4L2qsCAFpi3w769et00SEyZRkCYjxAYlKQMaO1cMufB0QGNEObN60SU2HIA76LsFvxO9XTQmCBCZG+KNwss07hFNuTJT4jtN745TNHK+67jo5fPCgCqBuYsJ3CNEQAQRyBOdY5fqbb1YTrGgEBIIFieI9hgai/ORJNU3iPYzTu9EGmDlwys98EfgxY+J7tB/4rCxauFBJiSEB5H/JDARk+ZIlSkzcTuSYrF16+eVKKOjvstmz1SQLMuROdsk7CZMltB4I5BDRa264IRz0BLPydWvXquYEh31Trrj6anl32TIlA6a4yRv9YA43i3b375dtW7ao9oQ6mIiNPv98NTnj+iVvvRUL4rAPCCZY0QgIGhBIG8EAJkyerBo9NENgYnCG2LKmILKQOvxglr79dhMtTsyBtFOFfF++XFYyW8lDJAG5tdfHVHux9tQayfZmScCTJTiIF/gKpXdWH9lWsUUO1R6SPVW7ZFvlVsGkishaq8tXSZYnIAGvUz/Xmyf9swfI7qqdqu3YW7VXkwtCTvAxyczwOQED8G1uCEpdQ0ijZ11cfIlcUDBBHt31szaZfapoQFLNEb1VBMR9Z4zAn6zwGu9ddhOLePtCIMdBe9asWWHHdfKAIEhw4uR2nmejWr16tfzpT38K+wmYE/p4xxhvPeZCXhWibVFwAufFkWyEFTcZcm+QhgQ1N662vnfJ3KN4MTP1omFnHOsTbYv6rcWONuJdj8mMz16TGgiwZyRjtpMaoz97FC0RkAunrpVx47dovo+K09lSWZktwaBXkw5OmbYWmVhJB5qPLZsGyob1g+OeZmsIyFe/8Q31jWhteeqJJ+T1115LqpnWEJABAweqCRbCsRGgERTPHztWzWUgAUOHD1ezGgRp3lF8jmCsJrR+fzhIB+8KNRV67z1tDwJCO5gZ8Rnr1fRx3Y03ys4dO2Tj+vVnOZrjsMwp/uaNG1VwjlVuuOUW+eDdd9WkyrRvNCD4rCDUM97xEyYogULQ4N2GIO52uletu98vFadOqTCN4M4+iq/HmLFjVViGWBmTIYR73ueYnbmDyDBeSAVaD0yqIDP4bGAKxZzdBIS6kJDLr7hCp4mAf+0NN6jvCYQN0oBfCb6s4GFM3+j7XZzcXU7otIPvDdoUzKHQgGAKhXYCDKjLPaMO5BEBEHkCwhirQFbRTGGuhYYovFYaNSBoPNBC4TcDucDRnPHk5ueriR5rwd/o76imbT6fzgVievzYsVjdt/v3hMudXTpHBmYP0jwg7ihYN/e8TSAoOIpX1J2WmvpaCTbUKinBNApzqlN1p9SvY+nxxXKNJjTsKeWhco1qhb9IbUOt5g/Br4McIITxpY9FZQtizo2wvxMKJ8lDO5I7oIjsIFUICGsRM6xUKW1GQFJlQtHGYcyDICGEx4100DbXsNHhPL98+fKwD0t7kQ8j9LqjV+GfQiLClsLPpjLOHTk27qnFriMRt32BQFdLSNgSASHxoNeLXxYnhGQczuB/qgG55bYFcvp0rrw+f5oEgz7JzqmRE8fz414krSEgs664Qj7xyU/G3Vdz74R7v/jFpMlkawkIpk7uKEkI5ZhO4cSN0I05Fj4NJxG+Ab9x7SEgswYxKUKzgIBrTF75HCETzQEmRMaB2wiuN912mxw6cEBWNvoNuA+K8GnBRAffCUhPrAIBwdF8965dYTJjCAgO5xAASA2COeM0kaUYK0IHAj6CPr4NfG/MmKkHAYF8oQGC5DAmQyAwg+J0f9mSJXqtWwMChuMnTtT3JwRl9lVXKQGBABlTLTMv+sAnBkLw6iuvyLU33qhf4TeDeVKffv107Iz3tXnztC8IDRoQExpfTaK9XjWVw4+FKGL4gKBNuuyKK2TjunU6djQfzBW8Rp1/vmok4jHBMtoy5kLELmPmbvyF8NlZ9vbbqgWD1CpJwY8Sqw9C9hJ8oBFnMGYO7rUS6x639/eFvkK5ottVqqH4y34IyKFwHhB8MshmzsZj/mM8g3POk6u7XyvPH/yrHKo9oNoKzKrQkHgzPE7dxmuoT7hfyIzJ92Hqx5rb7G5XyoSCSfKj7f8Vq2pc36cKAWGwOKKnymHpOUFAAN34VLARkMfEOM7zndt53vhBJOsLEddqdFViYyVRI8Xk7zDhhBNt61yrb7E71+54asy3KyUkbImAeDzkOcg4C3TMsG65HQKSI/PnTpe6Oq/k5lYl5APSGgKC0PiTn/2sSZLWRFcGfhMP3H9/opeF6ydLQNAI4NuA+ZLbR4A9f/ioURqC/e1Fi1QDgikTwqf6ijT6f0Sa/OKQDh4ImtTj/UX+CIRSTLncJOeWj31MBeF3Fi9W4uUW3g0BQZsCQYlV0Bgg2GPyY3yi6BtBHCKFbwIHfRdMmqQO6cwVEoBwrHNwzQdhCI0BnyMoG78KTMJwNEeDYfqgX6I/Qa7UyTsYDA8VLRL4IuCjYUDDgVAOMYjUgKCNwJwL06T5L78sV1x1lWpQ3lm6VJ3EOXjErAnNBaZVtEHffG+0B9TBpApiwrUQN7BjHGPHjVMiwpzAGq0TBGDchAl6zcI4NG/MBU0QWLJezRyQTdB44Fuz5O23lazxO+TIaEoi1wl/M15wNqGIY93j9v6+KLNIruxGNKr+8tSBJ2R/zb4wAcHnAzIRWYbkDJVre1wvzx54SvN6mDrN1UdjgjnXgqOvyeaKTVHbjDZP8oRMKpws39v6QJvAkEoEhKBGJthRm0yuFY2cMwQEjIwmxCR9inTUMtGqjNajI1giJxKEnqWsXbtWHnvsMV0csZywW3HPu8ylFrsucyvTaiJEuEOQ6wolnjwgkfOEgJAH5OTJPHl9/kVSX08+i1qpqY4/EWFrnNAZzxf+5V/kggkTdGiJ7NNoDhAWn/jzn2XhgtimGM3d42QJCA7OCJY4jRN+1gjWCJWY0oxuNDvCJwITJE7UMQOKzM2hp+8ejwqfaDwgAkRh4t3Vs1cvR/BftaoJybn59ttVAEVQ1rC3rjxY6gw+fboK9fhvxCoI3QjikAvzLNA3Ghy0EMyP9+yUqVPl0KFDal5lEh262zZ5TsCkrKxMNRDGZ4LQtrt37lTh3fRx9fXXq78IviKQELQVRpPDfZ160UWqMcLHAgJBHiycuNVfpDHyE7jxjmUO4Dp/7lwNo0u7RjPFGIgMNunCC9Wv450lS+TGW29VjYz6yGRkSF5urob+xbkcWQLyRj2uhYzho8H8wMlEpMI/h/r4AMUqrBXWAOuEe+smejj7o6GBdEAeITbUMbi72zZrBXMu1hdaIep1djEEBA3I0weelL3Vu6NmQnePc0jOeQI5gIDgnB6NpLjrQ0Bu6nmrvHH0NdleuTVmfXMtJl2TC6fKg1vvaxOYUomAsF44tEiFck4REENC3M7sxvnaPKSx/CXa+qa5w8m+8sorsnjxYktA4gTZYhcnULZamyKArb0xw2jThjuhsWQJyA03v6XO528vmqSjJlt6KOSNewYEAyG3RbIF7cDsOXM0PDun2PEW8kFs3bJF5r70UtLRzFoThhfTKKJNIUBDLIxgrdqDvn1V4NVkehUVSgjw/Vi+dKnmqzCn/caJ+rzhw/XkW30e3n9fzaswCSLSzYX0sWNHE5KD2RS+AQiy69ascXwjgkElMgi0mGARhhd8YhUEdsau5lzV1VqdvknmRyhctCP4cyBw42SO4I7Dt5kvGgiNRjVggOYgYQxoGSBSvINxUCd0LDjgW2HC7WJWhfUCGeS3b9kSJie0h4M1mgySTOJHAxkCa/KdcN/RQFBMfhXIA0kQ8aPA3Itx4G+BuRPEge9HjB6tplSQHcy0GB/tswbI20KoXAgbYfjRzOBPQnHLEUYbwRzRfqG9eOXFF2NBrGZ0tI8ZF4TRTfQgmawVctngoG4ifuGjwnwNWVGyFQiozxRaNTRlkEEicXV2KcAHpNuVGlr32YNPy66qnVLf0HJ4YBzWZ5ZcLi8eek7zd8QqmGARhndh2euyp2p3rOrOvZMMubbHDTKxcLI8uKXrERB8saIly44LnDaudM4REIOf2/7VfJbISVpb3QeNvhAMqm8K0blMno7OGEtbzamj2jFRvyx2HYW47QcE2DRxUO0KJRkCQnLC6258Ww7s7y7vvjNWYcAxnRwh54/bIiNG7pI1q4Zp9KzmSmsTETp9euW7P/iBCn/xlueefVZeefnleKtHrdeaRIRhofjwYdVQmPCwRnuA2RECLafU+CEgzPNOQChGgGfPKygq0nwbkAmN8rRypZ6+QwQ0v0ZOjmohMMdB8DaZ0slBgcYAh2SEdb7nh78RdiEynOCjnYpVIEc4jyPoG3JA3xAmnLBxTkdzgR8I2hgEHvrClIhxoolBiC7t3l01MWhS0HaYttBQ4DuhkZ7ef1+JCAXfisKCAjVrIuM7YyYcL4SAOaCZUPOs3bsVN/CGWKB94ZkFP0ygMBUDCwR2NBRokaZdfLEsfustHSc+FQjsaC4gFXwGQcOsDE0DTv6YZ5G8ccP69doeGpO5L7zQLHTgAx6QQ7QusQpjh4BAMFY2JqfkGogeka8IGoAmAxLF3NH4YH5GDhAIBmPH6Z+xMV4ierFWIKrsYWhYIIBoeMCLwt98jm8PJJmCrwl+PWh+IGBtUcg6nu+FgMyREbkjNdfH9sptUokDeWNo3Wj9DMoeLNOKL5Z5h+fKyVDsHD4kIqSPt4692SQRYaw54GcyuXCKfGfrt2JVjev7VNKApJIj+jlLQOJaNR1QyWhjouU/6YDu07qLaNhF5kdJ6wnawackAl0pIWGyBOSa65bIwYNE4WlKQC6YsEkmTNogSxZjEtI8AamprQ0Lla25yTfedJPccPPNcTXBfvGV//iPVpNHBHxC3yZTuBbNBf8SJcmYJXGCz2cIwZhBEQLWCPScmuNPAGngM0gLGjhOuiEqhjAYbT4CBuY5HGJhbmVOzslPgTBLvgq0LRAA+sQMCQ0Lgiw+GG7fkObmiG8CQvryZcuUBFDoD+JAokDMnZgf88rOytJTfwRhBGLIFodu+F7io8IcEJqNpoC2qIN5GRG10J5AtCgI3QjTEB/+hYgRbYsxUwehmdDAkBrGg48MWhk0RRA6Y/vOfPGtgHwwf+Yy8/LLdRxcg0aKsaENMhnjMdGCFEFCqLN/716NGMY8IF5oGdAu0G9zB5z0D7FBAxWrcG/QskBawMCQVdpnDGh3GCPaEY1+lZcnw4YPVxMvMOEz7j2BCiBp4GxymDA+xkF91ghrjgIOmH1t3LBB14MSkEZyw1zR2rVF8Xv86vtxTffrpWegp+b0KKstk/dPLpctFc2THCJmTS26SF498oqcDMUmyt39PWRW6RWN+UH2Rx26k2PE0+S7GcUzNQ/IT3b8sC2mK6lEQFg/5NJJhUNuS0DaZHm1rpHIzSoVFkbrZtRxV1vsOg5r29MZBLBrj7TLT0d84iUgGRk4sToJ5/j9vGF71Odj967eGiErI0NUAxJvCdXVhYXKeK+JVo+T7we+9z0V0GMVohx+7d57z3JIjnVd5PcF+flJh0pPtK9E6nMyToQoCiZVCN5rVq8Om26RFwPBH8Eb8zeICgIxwjskwkSqiiY8JzKO1tQ1eaNwP0bDg1aB8LKGZKERQsCGgGBSRX1O/RmzRtcKBsMJGxMZBwI7J/+YK6GhYa0cO3q0S+X8SQSP9q5LDo6+WX1VyPdm+KSqrkL2k5W8coccCzZNhAk54D9dE74CDduLQ3lNfbX6+zRI04Sm7vo53mzBcZ08IITo1UPLiPrtPVfaTyUCwnhSJSO6JSAdsfpsHxYBi0CXQgBzDjbPdC/xEpD2mKdGYmoMMdua9r/9ne/oSXhLBSH7Rz/4geZpaG0pLipKidPDROeBeRfC+vvvvqvmOPFoOhLto73rY06F9oUcJ5iddYVDgPbGzLbf+QikGgFJlYzoloB0/tq0I7AIWATSDAFs0uOxlU/1aXUmAeHlU9lovtManH788MN6Wt5SeXPBAnn8z39uTTd6LZGWcnNyWt1OZzRApCQiIeHU7k5s1xljSbbPfv37y8QLL5Q1K1c2CU2bbHv2OotARyCQagQkVTKiWwLSEavP9mERsAh0KQSwrcaOPN1LZxIQTuBPljtmEckWzFV//fvfq9MzJkjRsvyuWrlSHnn44WS7CF9HXzhAp2uIdLX5HzFCQ7fiC5COGhDCBZuM7fh7ROb3aPVNtg1YBNoBgVQjIJhekg+ks4slIJ19B2z/FgGLQNohgNBMQsLWCM+pMOnOJCDMv/zUqVYJkSTu+/r996vT7KM//7nc9+1va+QjCveGHBB/feaZpEPuuu8RjtEQkHQt4IJDMRGP0OBh/haZZhIqGJk1PJXmy8ktYX0x3zNJFtNtDqmEpx1LxyCQagSEQxQc0Tu7WALS2XfA9m8RsAikJQJE2zHx9tNyAiLS2QSktVqQK+bMkTvuvFOF0a/ee6/4GrM9GwJCvpG2IImaHC8/X6Mz2WIRsAhYBBJBINUICGPv2bNnp+9nloAksopsXYuARcAi0IgAPiAmP0G6gtLZBATcCGNaXVOTMISYW/3DP/2ThlilEBL2lblzNQFeW5fW5P5o67HY9iwCFoH0QiAVCQi5ZAhK0ZnFEpDORN/2bRGwCKQtAl3BET0VCAhmP+SfqKtvGk7TvTDQQOAATm6ECRMnyuwrr4zq78E1JLvbvGnTWetq586dmvMAwpOIVoTQtoWFhWkZ+SptHy47cItAF0IgFQkIoaf56cxiCUhnom/7tghYBNIWga7giJ4KBIQFgDMx/iDRymWzZslFF1+sJgPZOTmtcgIn0zbZrp9+8sm4111+Xp7mzLDFImARsAgkg0AqEhC0H2hBOrNYAtKZ6Nu+LQIWgbRFoCtkRE8VAsIiINMzieDI9TBy5EjNykz27PaIOkUEs9fmz5e33nyzxWhQOdnZnW6mkLYPiB24RcAioAikIgHBn41Dnc4sloB0Jvq2b4uARSCtETh8+HCrojh19uRTiYBgZnXjLbfIRdOnd5i50/q1a+Xpp56SvXv2NLkVRFYyJl+dfY9s/xYBi0B6I5CKBAREiYTVHgc88d4tS0DiRcrWswhYBCwCEQike0b0VCIgBtqbbrtNpl10UYe+GJ/+y19k0ZtvCmZ1lKxGfxO74C0CFgGLQGsRSFUCQi4QcoJ0VrEEpLOQT9N+h/Y7LaMHl8uxcr9s3ZsnB8s6N4pCmsJoh91FECDMKz/pWlKRgKAJmTxlitx+xx0dCuuxsjL52UMPyfGyMmt21aHI284sAl0bgVQlIATXILdOZxVLQDoL+cZ+E4nGEs9QeXm3V7n3UxvlmosPhpuvqfXIM2/2k98+P6RNupw1+bBcP2O/EpyAv1627M2Trbvz5C+vD5DdB3PapA/biEWgLRFgA0ULkq4lFQmIwXLAoEHy6b//+w6L1HL61Cl57I9/lO3btqXr7bTjtghYBFIQgVQlIJAPSEhnFUtA2hn55ghG5OetISKRpKM5EtIacnLjJfvl3+/cHBWt3zw/RB5/dUDSSPoz6+WBz62VqWOiC3JtTXSSHqi90CIQgQDRm/ADSdeSygQETH0+n1x/000yafJkdVBvjxIKBmXVypXy4vPPS3VVVXt0Ydu0CFgEzmEEUpWA4OdWWlraaXfGEpA2hr4lYmG+c9dpLRFxkwrze7TPzDRb+q4lKP7tzs1y0yXRE3yVlfvl9i9fnDSSd12/U/7uup0xr396YT959Gkn6ZgtFoFUQeDgwYMtRlJKlXFGG0eqExAz5qLiYvnkpz8tvXv3lsw2slmuC4Vk7969qvU4eeJEKt8mOzaLgEUgjRFIVQKCAzqO6J1VLAFpA+SjEYpIsuH+u7nvGEpL5KQlTUck+eDvaJ/RRzxEJRKW22ftlbs/tjUqWmgorv7XmUkhifbjxR8tUZOreMqDvxstCz/oEU9VW8ci0CEIENLVOC93SIdt2Em6EBCzb2EycOG0aTJ7zpykc3MEg0FZ8vbbsmzxYvXfaY32uQ1vhW3KImAR6KIIpCoBAe7OjIRlCUiSC74lgmGIBHXcP+7Po/1uhhLrhdgcEYkkHW6iYb6L/CwaIYlmqlVSUCuP/OeH0rtb9VmI7T+aLZ/85tSkkBzQq1L+cP97cV+7eFU3ue+X58dd31a0CLQ3AidPnhSyoqdjSScC4saXGPZ9+vbVPCHkC+nZq5d0695dM6W7C2Tj8KFDsn/fPtm9a5cc2L9f0FgFG6NdpeM9s2O2CFgE0guBVCYgnRkJyxKQBNZxpHYiUqsRSTia+zuSfJDQrLKyUkfi7iOaUEP2Sl6+pkAWsOMzmXqjkRA3+Wjp91hkhAhYX7h9q0wYcba5wt0/nCjrdxQkgKZTlTZ/8/UP4r6uNdqWuDuxFS0CCSDAcwoJSceSrgQkHbG2Y7YIWATOTQQMAUF2Mz+YP7nltc5CpjMjYVkCEsddb858yk0wIBHRCIf5nG4QVOrq6vRfTuYw2+AG8FlbFE7/cNrMzs5WQmISaRnCwmJ3L3qz+KN91pz5FuNEawFx+OY/rA8P+8DRquo1bQAAIABJREFULLnrgSlSG/QkPJVnfrBMSguc+PuxCv3c+c1psarZ7y0CHYYAzzFmWOlYupWUqBMie5fZq/RfTDU5EEnHSdkxWwQsAhaBFEGAffTQoUNy6MiRMPlAJksVAtKZkbAsAWlhkcbScDR5YUeYW3GtyREA4TAajs54Jkg0k5eXpz/5+flKUtxkxP0gxCIjhpj0Kq2WJ76zvMl05i3rJT/808iEp/jZm7fLJ6/aHdd1764rka88Mi6uuraSRaAjEGAfwKwnHYs5NGEOHITw4z40Scc52TFbBCwCFoFUQwDZih9DPlKFgHRmJCxLQKKsUvNS5qtoWo5I4mH+hmRAOiAcp0+fTlnnRsy4ICIQkoKCgqhkxDwckYQETCAhvbvVnEVA+O6bvzxflqzqlvCz/9CXVsr4oS1HosH86p7/nqgJEG2xCKQSAoTiJSRvuhX3/mbIB/uZ2fvSbT52vBYBi4BFINUQcJu+RxKQzh5rZ0bCsgTEdfejEY9oZIPPzOdVVVWaiKy8vDwtI+HwMEBCioqKopIRw9ojzbXQgDz5vbOdxwnJ+0/fnayZ0uMtmHM9+Pm10qvkbAd308apKp889PhwGwErXlBtvQ5FgD2AzTQdi1sL4tZ+xAqGkY5ztWO2CFgELAIdjYCxHImUp1qTm60t59BZkbAsAXE5fjen7TCEw7ycAQ2nU4SOmpqatlwHndoWplkQkeLiYo0mYx4W90NjfkcD8tR/vR91vImYSUE+fvLFlZKfffbp8eY9+VJR6ZXVW4vkxbf7JERqOhVI2/k5h4Axt0zHiUczNU3HedgxWwQsAhaBVEYgWjTSVBhvZ0XCOqcJSLQXr1vj4SYe/F5WVibHjx9v85CbOVlEsfJKdlZAsgOZ0lDvuIBmeDKE77IDAQmGQlJRVSNer6cx6VmDOoierqjGJkoOHomeRTzZxY1dIESEhQkxMbaLxndk0qhT8si965pt/qePD5cXF/dpsfuWyAcX2pwfyd49e11HI4AmlL0hXUtL+YfSdU523BYBi4BFIJUQSDYRdHvPobMiYZ2zBKS5iFWRpMMQD2y8W5tsLD83W3KyA5KfmyMF+TlKLvLzcjTaTH1Dg5CZt77eiYiVkUGINo801OOH4kTYwlwq4M8UD0kGPR4JZPokEPBLViAgHk+GnK6sksqaWjlcdkKqqvn3uBw8fExCrYiyRZ9EyenRo0eYiEBGLhxTIY9+ZUOzzwX+GkTFOliWFbXOBcNPyAP/vDaq5sNc8D9PD5VnFvZr72fPtm8RaDUCRLU7cuRIq9tJhQas6VUq3AU7BouARaCrIZAqJleRuHZWJKxzjoBEaj2iEQ7zGRqP1hCP3JyAFOXnSnFhnpQU5inRQJvg9XnRbyiJcByS+CZDzblCdSHxiEe1HyIQECcqDcXj9Yrfmyk+r0e8Po9k+nyNP/ztlUyvV9vP9Gc2koUMjaV58Mhx2bXvkOzae1B27EkuWg/jLCkpke7du2t4XwjIr76+ucX9Yd2OArnnhxPPqjNl9DF54HNrY2Y/f+zVAfLb54d0tT3IzqcLIpDOkbC64O2wU7IIWAQsAhaBOBHorEhY5xQBidR6uMmHOwJMssTDh7agOF9Ki/KlMC9bMn1eNY/yepzcGPSP9gBS0NBIKsTjEZ/Xp+SiDrJR52g7lJxkeJ14/LQB6VCtiF4sGdIghNfNCvglJztLCQh1/F6PtkU/aEeys7N0DLRJlB60ITt2H5BN2/bIlh175eSpxDI40z8akRtm58vvv7Uj5vL+v5cHyh/mDg7Xi5d8cMGCD3rId343OmYftoJFIBUQIBSvOSxIhfHYMVgELAIWAYuARSAWAhxcY+XS0eWcICBurUekj4ebeBA6d+/evQlHs4Fw9CgpkG4lBWGyUa+2U042LzQVCO5KgFyhffkD3YbbydsQlfr6BoeINCYPRAORkdGg/iHejAzVgvgDAfFn+sTv84kPDQi/Z2bqD79nZWdLbm62Ehuu0x8dA+ZedRIK1cm23Qdk9cbtsmXnXqmpiS8ZIGOcNc0jC/7X0cy0VDDF+vefjpcNOwtl1uTDcu+nNsbUfJj2PtpUJF986IJYXdjvLQIpgQDJCFtrppkSE7GDsAhYBCwCFoFzBgFNrdC7d4fPt8sTkOa0HoZ48C/22/v370/IiRR/jl6lxdKztFA1HR6vRxqEZF4I5U7+YEgECguIgtGCmH6VkIho/brGLOpoNEzWcs2SXltzJhIVOo8G2g9JdlaWZGdlO74fIhIM1irJQY2Wl5stuTnZmg09i3+zsqWmukqv83p9qm3xZfokWBuUYDAkIc163CC1dfWyftNO2bR9t2zaujPmQrxsisibf4hZTSvsOpAjzy7sK1/85Jb4Lmis1dqs5yUFtfLZm7bL6MHlUlvnka278+S3Lwyx0bQSugu2crwInDhxolMTjsY7zmTqdS8tVc2nLRYBi4BFwCLQPghwiHWkrMyxdOng0rNnz7D82VFdd2kCEhlW15hcuckHNxzTCT6Lp+DTMahvDykpyJcMb4aTD4SoVRkO6QibT3ky1OSJv9Xvo9E/w9TRrMP1dRKqc3KKUJw6jv+GLsAMyEVQQqGgaixwUFczrgyPEhoc0qnr83hU45GZmamf5eXmSmFRoQT8AcEsDOKCT0mmtu34kISCIakNBh3nd0hYnTMWfj96/JS888Fq2bxjT7O4XD1DZN5v4kGsdXUu//xlSTXgz6yX/7vvPendrWluBjQyaFXW7yhIql17kUWgOQTSORRvrLs6cvhwGTlsWKxqKfc9+6XJ8M5+zGEPf0c62quZa6NPnpc91YtJK1rnjhcEUg5EOyCLgEWgQxDYsHmzbNi0qcm+01F7UGeE4u2yBMSdXMu8hBD0zcuIsJl79uyJ+8SyW3G+DOjTTYrz89RJXFUbngxHeA8Gw4vTCVfr/PA5fbKAlCg0EhEq850hIcYsC8aBlgJNhvPjV3Owmhp+asIvTsgDZATSAeHIDmQp+cAMixdnbm6OnlYGMv0aMYux0HcgM6B10NZgfoX2pV6JR53UBmulrr5B6hrqpKqqVsnT6cpqWblhq6zdsO2sSFp33SLyv99r/2fyti9fnLDGAs3Hp6/bKTfN3B91gK3VrLT/rG0P6YhAuofibQnzdCMg7LvsmdU1NWeRjXjXFvs2+7ATZdDx47PFImARsAi0FwLrN22S9Rs3qsxofuirI0hIZ4Ti7ZIEBMLh9vVwazz4HSfzffv2xfVi6laSL4P795DC/FzHYYO26xxNR4PHaECaajEMATFkx71YeZGFFxNKjsYXG+ZajsYETQgO5AHJygo0McnihaqRskJBaairU1MqTKq8ngzVdmDChTkYjuf5+fmqCcnNzlHiAhHJCmSddaqn2pdGklKD2VdNtVRVVUsoVE/YLR1fRVW1fLh2s3y0ZqOOkdJRBOQfvztZtu7Na/F5z8sOCWF9xw0/IVNGHZOBvStj7g/JEJuYjdoK5zQCmE2iUe2KJV0ICPvZ6YqKqFqOZO+L8cNjPzUmssm2Za+zCFgELALNIbBmwwZZv2FDE79gNxFpT+Ty8vKkoKBjLUO6FAGJ9PeIJB4IzziZx5MwLDcnS0ac10dKi3IJiqumShkNEA4cuR3igTrfKY6av6nT+JkTMzcZMovJRMTSkLyQEslQLYNjjtWgxAKthj+QqS89omMx/qCaYznaE2XG/DRI+KSOa9CMoPEoLCiQkqKixrGJZOL/0aiJ0WBaGhmrTrUi+IzUhkJSW1sjnOQiTAXxZ1EneKJ5eSTUIPLm0g9kzfrNHUZAvvnL82XJqm5nPXcQjsmjjynxGDO4POHn0hKQhCGzF8RAoCuH4k11AoIWubKyUvet9spjwt5NgI+cnJwOOZG0D5xFwCJwbiGwZv16Wbt+fWPkUyeaaZND63aEAxmQ5NMdWboMAYnm72E0EPyLUL1z507VILRUEMaHDekrA3qVaGLAgN+npAOn7XrC4DaaSfEZbRlCgUmUEoRgUPN6aD6OzEby0OhkrlSl0SbZndtD83lkZoYjZRkyo8kHfU6uEGNGlen367joR82yQqEzBCQrSzUhEJjqqmopKiyUno2h1bRfnU9AYLr0gSaFyFfMOT8/TzUqEBOwOnX6tBw/fkK8mT7Jyc0Vvz9bvP5MqWtokFMVNeKteVEe+krign+ii9tkVMeRXLUcw07I1DHxZX0nCWKv0qY+IPQ/b1kv+eGfRiY6FFvfIhATga4aijeVCYiai1ZUdFgIZASC3Jwc3bNtsQhYBCwCbYXAqrVrlYA4pvxNCUh7m2Gxn5HnrSNLlyAgkeQjUvOBWUQ8Jld9enWT0SMGSG52QCorKyRUG5SszExpkAwnSzlhcxucpIGGTJh/ISDOj5PHwxSjvjdM9kx9xzfEvcjcNx6ncYiMw34d4kLhb8gN/yqJIJJVba22wwLKy8nV73kp4w8S8PuVcEByMK1i5E60LcfRnehYerLnd0L5opGhcH1FZaXjK1JfLzl5ueL1+SVYF5Ju3XvIJRMPyEXDnmj3tYq/Rl5uqMWM6dEGUVbu1ySIxh/E73O0VR9sKJHHXx3Q7uO2HZybCHTVULypSkA4hGGf6oySQ6TBrKzO6Nr2aRGwCHRBBCAgq9eubTx0dgJhGA1IexMQ+unVq1eHopr2BCQa+XBrPgive+TIkRZBzc4OyMih/aR/v97i9Yg0hOqkouK0BGtrxe9zNBOYYKH1wFEb/wg+Q+A3/iaQDzQPGRkeJSJGGwIhQeA3DuhnmWDRoYbYNXk/IBle8WU6eT1YFFAPxmLmpSF2sxx/DqJj1VQRZrdOx1SQny852c7pXHVVlVRWVCirxWyg4tRp1ZzQl199RgJKbnBuIW8JhAdNC3UJHYy2p/zUKSG8KAQE7UswVK8akekT98nVk+d36GKNtzMb6SpepGy9tkYA8040iF2tpCIBweQKAnLmuKfjUcdBnf3SFouARcAi0FoEOpOAMHYISEcG3EhrAtIS+UDQjsffY8jg/nL+yIFSUXFKiouKUHFIbU21Rk8JBYMamhHlA4I+mhDj/+H291CC0hgi1+0w5ESaciJWGW0H7eEQjuTfqEdx/CwaEw6i+dAXqn7mURMox2/DMcPCXwRtDJVwVMdXJKOhoTFaVo1qPcj9QUQDsq1DXCAskBWNyqV+Jg3qbI72RCNpBbIkOydb/UtCoVolGBCZ0pISKS8/JYcPH3KYOA7vaFr8AenX+7TcOnuJdM8/2Npnrs2vN2Zbbd6wbdAiEAOB8vJyIaFpVyupRkDak3wQD//iGTPkuWefjXkb2cPZhy0JiQmVrWARsAjEQMAQEGPp0pEaEIbW0aF405aAuMlHpMkVjoi7du0S4vK3VK6/brYUFvjlRNkxJRsFBflSFwxJTXV1kxC6hKsNBSERZ7QVxtTKmFgZEynztyYaNDk2gjhGomFw8neYpISwCD6nuE2r1MpLUwxmOJGucCz3+8TvJ8+HE5oX8kBCQnw6MK/iM05eIRyQEggIp3MmCzstmvEwV3w8qK/mV4GA5OblSaguqCSE64iG0LN7D6murpITx4+7HOwx0/KJN9Mv/uxsGTJA5NILd0vv/OXik7JO32BeWNxHHnp8eKePww7g3EQAwRiNYVcrqURA0HqAczKaD5wsJ06aJEVRnC379esn/QcO1L2zqrJS/t/dd8d9GznkYT+2xSJgEbAIJItAZxMQ9kf2so4qaUlAmiMfmD3xctq+fbsK5M2V0tJiufvzfycVp0/IurVr0WuotgFTKQT4mqrqRp8LYjF7VGtQW4tzOf4RDrEwBMRNPAz5MMK+sd1raHB8Q/hRTUdjcitHi+KYXlFMhCpIh9ebqRoHco1AVBgDEbFyc/McfxRMu3yZGpXFmIKpM+apU+owD3MuKS6WbqWlTXxSIGcVFRVqIsbvmFgFQyFH00K/kAuPE+2FFyoEhkSHzIU+q6tr1BQrryBfgqEG8WX6ZdCQwTJs+EgZP2y/NFS/IMWeNzpq/Tbp56NNRfKV/xkntUEbs79TboDtVJ+prhiKN1UICPsWe1Yypf+AAfLVb3wjLufxl198UV547rmEusnH1846pieEma1sEbAInEGgswkIB8/4DHdUSUsCEpnjw4noFFLSsW3bNhUCmitTLpwoX//q/5M1q1fK1q1bZf++feFcGhCI2ppajSClZCIDwZtM4ibMrqYB0XLG98NxOnc7mxszrDPqM1EzLPW/qK9XDQg3WfurrdbxMn4T+UCjXmnSQp9keB3hH1IAM+U6zehL9Cuyp+OU7vJFoX2THBFTLH0p+jPF6/EqgUDDAUHBPIxM6JiLmIzoDWhkMkS8GaLEA00IRATzLz9JDRt9TrqVVEtVMF9CIb94cXwvKJBBQ86T8eMnSGmP7hIIBOW1Z78gI/sslQkdFGwKZ/V7/ntiwkkLO+pBs/2cGwh01VC8qUBA2HrLT550hT+Pf01hVvX1++6T7Dj8NbiHEJD1a9fq+yTewsES2pP2dhaNdzy2nkXAIpBeCHQ2AcGUtAhXhA4qaUVAWvL5YCIQipbIx223Xi/3ffNLsnXLZpn38itSVnZUI0ORvM+JCFUnNdVoQJzwum6zKO6HyR6ujuGNWhB3/g838eAkzBAKn8+JWIV2Bg0LpAF1P4I95ho4vLs1Nu7oWGgm0Mzk5uRqYkESDOKjUlPrhOClqDN6Yx4SXoD8jZbDZGLnGuyUDTaMq7Y2pERE830EQxKsq5PK6ko1ueJFSoZ1+nPmWq82zllZ2ZKT45X7P/eS+Dx1snLTIFm/Y6is2d5DuvfoKWPHjZOhI0ZI34EDpbLitPz2d3+UP/3+QfmnO0Q+fq1I77PTebTJMsfpHPIRK2Fhm3RmG7EIxECgK4biTQUCgtkVvnmJltLSUrn/wQcTNi1gT1781lsyb+7cmOa8ZkyYyObm5iY6RFvfImARsAhIZxMQZE38QDqqpBUBiab5QPBGiIZ8tGR29ZnPfFK+9c3/UPOsVatXybvLlsmp8lPq++E+sYKAVFc2akAaYzE7yf0yVVCHhLiJkDuqlSYnJEN5Y14PY4LVmOxcNRD0hxoFUoBTObk43P4kZ7QtjlaFUz/a8ft8kp2dI3l5kAInRK9b6wLZ4AeiYaJusYhM5Cz6cDvI19c16HxOnT4ltcGQZHi8SmpwTq9XTAjX22jipf/6JZCVJZdMOiafvv69Juuz7GSurNs1XPYcnyVDRsySkWNGq7aExIpPPvWsfPFLX1fydfNskb+5VuQT17bt8n7wd6Nl4Qc92rZR25pFIEkEDh8+rFrKrlQ6m4Cwf50sL08oySB79iUzZ8pNt9yigTUSLSdPnpRX582TNatWyeFDhzQSYqxiIhHajOmxkLLfWwQsApEIdDYBYd9CW9xRJS0IiPGRMH4URtDnJc/Pjh07Wjyh+sbXvyR3f/4zUlVZIcuWLZPVq1bJls2bVSjGt8LxZmzQyFPBmqBqQUwx+TUQ7DUMbx2RrZxIUm6Hc/eYuAYSYgp+Hqau8d9QZ3Svk2zG+H7wtyENjIv8G8bBnmzn2dlZSlwCAb+aVZ3RsPiUhJnEiLx40ViYfCHEya9tPDk8Q54cjY76gEBAvD4lMLSDhoXoXRAnwv3SlpIgv1++8tl1MmbI4WbXZ1nlEKnP/ZT4S24Tb1Y3deZc9PYS+exn/0UjalGK8h2NyD99XFptovXYqwPkt88P6ajnxfZjEYiJQFfMBdLZBIR9KhlS97kvfEEmX3hhzHvWXAX2y61btshPf/Qj3R/jKezphQUF8VSNWYc9t0+/fnLe0KHy0QcfqMbcJLGNebGtYBHoAghkebLkvJyhMq7gAllY9oYcqT2saQO6YulsAgKmffr06TBo04aAuE2eDAnghbR7924h9n60gqD+3z98QD5xx61SU1Up+/fvk9dfe03Wb1gvJ44dD5stNdQ3qG8Gi5p1jXbA9GfMoQxJwCkdrQWHYU5ULMcfJNIx3QnN6zieo01wcmw0mkrhjN6oXSFsLqFw8fegDr8j9HMd/ijBYK1GvGqoD6lqv6SkRImFmozhN+LzSlZ2dtip3IwHjCAO+QUF6iuCnwc4GTMsInspuanDL6ROalS74/zUYt6leUUadCyE6CVocEFug/zfd9+Na3HWNwSkPvdmCQauk+rMmbLio9Vy5yc+I0eOHG1y/cghoiZan7guQ3qVxj5hdF/87roS+coj4+Iaj61kEegoBBASMRfqSqUlAsI+kV9QIcNH7JKS0pMS8AclkOUc4hC2PBTyyq6dvWXdmqESDJ45mIkXn2S0H6btSy69VD59113xdnVWPfb1nz/0kKxZvTruNtibISCtjafP9YVFRTJl2jSN2rV40SI5eOCAJSBx3wlbMd0RwA+3W2Z3ubr7ddIj0EP+evAZ2Vm1PSoBQUahfklmieR48yTXmys7q3ZIVZ2zF+Pj6i7UR4Yr8hVJUWaxeDO8crT2iJwIOvKkqc/nOd4cGZ47UiYUTNRARPVSL5kZmRLwBGTp8cWy5tQqCdYHz+ojUfxTgYCgAekoDW7KExC3cO/WMiAgk928pSSDv/7VT+Xmm66V7EC27Ny+VdatWytLly6VnTt3aqhdc5KEzwMkRE/YIjKdG9Mld1xmx+nccVA3Ar/bvMmQEXUWV22Jk23caEXMnPg7JyurMUmhR8kGRZMMerzqi6FtacbzGtVAoAHRRIF+v0MmyKaeeUYDYjKkc2NxZDcx6vkcvxBC7/LdmShe+L7US20oJMEgzvyOFoRxe7zOmJ0kih7Jzs6QO689KFdNPyS5WfGbmNR7+0tN9g2yYusFct1NXwprQiIfzo9flyWfvjVLrrk4dhjTXQdy1O/jdFXiAk2im4KtbxFIBAHCf8cKAZ5Ie6lQtyUC4vXWy9SL1sjls99TglFb65P6eqLmeaS62i+nynNl08bBsmHdYKmp8Sc8HfaryiSTO86eM0c+fuedCfdpLnh3+XJZunixbFi/PqE22Hdz43B4b6lRgouMPv98mTR5su7JC19/XQ4dPGgJSEJ3wlZOZwT8Hr9MK7pYZnebI9V1NfLkgceUVETTgEA+ijNL5MpuV8uxYJnKTstOLJXToehR86hf4CuQOd2ultOh0xJsCMrq8pVyuPZQE8ggMlOKpkn/rAGyo2q77KjcrqQG0nJV92ultr5W5h15WQ7WHJS6hvjlomj3JRUISEfmAklpAhIZbtet+cDMgUSDzZVv3f9luecLn9W8GZler7z11iJZsmSx+oocKysLO2jTR5ZmBM9wsurWq9dFmCyYzOGRDuaOxsJxXjfkQqNXeZ1oUyYSFaRCQSayVGamfu9Ev6rVCFMkPzShG0+edLIo8z0O4IUFhTp+iAjO4SahIZnNcTbXbOsQhlAoTC4MydGXdmWlvrjRmkBcIDaQkDOkzXG81ylneDXUsPPjEBSfP9PxWwmFNAQwPiG0n5/vl5kTTsvF4/fJ+OGJ5f44UjFEvvaD3fLM/JCciLIvEIf6/FH95JrpJ+XWK47KiAFnnySfqvLJPT+cKLsP2gzE6fxy6apj5xnDf6ArlZYIiM8XkjvufFWysmtkwWtTJRTyqYYY7UddyCu1wUypqMiWUJC9MfEQ2Wp2FIf/RTS8b/+bv5Grrrkm6Vvx7NNPy/xXXknqevb21kTE6jdggAb2YO7s32++8YYcP3bMEpCk7oa9KB0RGJY7QmYUX6IahyJfsTx94C9ysPZAVAICIbi05HLVYEAGhueNkEVlC+VUqDzq1PN9BXJx8Qypa6iTrRVbZFzBeHn3xDtyqOZMcmW0Hz38PeXS0svlo5MrZHf1rrCmA3J0UdEMGV9wgbxx9FXZWLFBv2tNSQUC0pG5QFKWgET6fbjJB4L15s2bm3VIvPsL/yDf/tZXnchP1dVy6uQJWfDGG7Js2VLRTMWnTktlZcWZ8LkZjiYDvw4nI7kTepcfHKnRdji+Gl7NNG5U62gOzviBNDXHoj3TBuQDDYIxnTLmWRAQiIZDSkQJEOZPkJ5Mn5OHgx+IA+ZkjAWfikySABJaVzUTZCj36JzKT5U7Zl/O21/NriA6jJfcHZhwQSZIQkg0LvrBz4TqzLmuDh8XCEdQ6tTGskHbUjLic0zFGAfhebMCWYJfSlFeUC6bckimX7BfenePPwN0VbXIX14ReWqeyPwlTR9ZIoRBspjbef2DcsusI3LFlKNSWuBoiL7883Hy3vqS1jzn9lqLQLshwKZ67Nixdmu/MxpuiYDk5VXJXZ99XrZt7S/z585oNE/VHVCHChFJtrDnsWcnW1pLQJYvWya/+81vkuq+ID+/iS9goo0Ul5RIt+7dJS8/XwYNHixvLVyoSWGtD0iiSNr66YpAz0Av6Rvoq9qG0XnnyzMH/yKHI3xAMKXK9PhlYsEkOS93qDx/8FnpFegtFxRMlNePvirloaaHQdT3eTJlZO4oNal66fALgp/JjJKZsvjYW3Kw5kAYLgjIkJzzJMebK5tOb5Dq+jP55fyegFxcPF3G5TsEZEvFZtWitKakAgHpyFwgKU1AIv0+9MQ/GFTygbAerdx++03yy0d/rOQDgbnsyBENu/v2okWy8qOP9BLyfPBSo31NsFenKoAmeTjC2dXV18Px3yA0LfkxKEbD4RCQMwSGMbqd0yEeRnNg7OrCIX61Tb/2CwFxiIkTrhdNDH8j7Ofm5UpJcYn2ybj5nn4gJg45Cahm42T5SdW2QCqMJsSE/+WllZ2bIxkeJyQwJA5tCz4gztxNkkVR0sGpAJnRlQii5WkM95uTTfZ1v5MfpNFMjPb8/oCMHRGSaeN3y8RReyTH33wulsj7tmOvyF/mifz6SZGd+xwchg8fHnakN870l006If7MenlzRcdFaWjNZmKvPTcR6IrJCFsiIL37HJXb73hNli6eIB9+MEpvus/HnkC+Ia+aZSVLQmoaE6cmu5JaS0C2bd0q3//ud5PqXkOXBwKkNi/WAAAgAElEQVRJXctF7IPs7SPHjJHBQ4ZYApI0kvbCdEXAIx7J8mbLlKKpMiZvrDx78MmzCIgvI1OG5AyRsfnjZdWplbKzcocMzB4ok4umyvzDL8vJCAICqegT6CsXFk2VrRWbZWPFRvUbmVV6hbxZtkAO1OxvApfjK+KYwxu/ED7L8+XLHb0/IVX11drP8dDxVjvHpwIB4aAaC5uOKClJQJrz+4jldH7ZZTPkz3/6teTn5Yo/0yeZAb9s2bRJlr79tmzZtFn27Nmtjt0I3iTgoz0VsBscZyQ3cQhrOfANaYx8lRVwBG8zPm6QMbtCiOfHmGQZ1bvjL9Kg9fDbaKKSb9RUmDbQMkBYjB+HOp831KuDOpoSBHEOE8nUbvw/NCRvhkfqSHQYCuncIGlmLrStoX0xpUKbo47umUpUyGpep2GFedk1+rPom88hIaG6kP4OaYEYcaIJ+cjiJxBwonF5fRKqDYrPlyl5efmaFDEv3y9XzqiT8cM3S0ngw4TW8TurHCIyb3FAevQermN1fFAc8zYT2rg1pg0JDchWtggkiACE/NChpnbECTaRctVbIiCjxmyXOVctl9fnTxOPp0F69zmi5liZvjrVgZSX56oD+rGywoSd0Ing19xhUzwgTZw8WT5/993xVI1a5xePPCIfrliR1PVtkROE0Odjxo6VgYMGWQKS1F2wF6U7AjiAX1Q8XUbljZFnDjTVgBgH8au6XavE4cPyFVJTVy2Dc4bItOLpMvfwC3IieManFFkp25Pt+H3UnZZ3ji+VqvpKNbPiswVlr8n+6n0tQgb5wHxratE0GZM/VpYce1tWln+oh7aRju6JYp8KBIRDbcz2O6KkJAGJzPdhojO15PfRr18fWbDgRends4cmFkQwR+he+eGH8uorr6jtbPnJctUgVJx2Ev+Z5H3S4Amf8qtg2+jXASlpaIxmRV3axQTLrQI3AjJ+I46mhMR9ZzKlOwSEE0HHfAkzL0iFmaOYiFiYOGn+EMfpm6L+F41hgvkOkyvMrTSTeTCoJIG20Jao1oLIWbU1GjWLa71qNuX4nTCm6toaJSOEADYhfoO11HWc6hEWVBfEgKVBQpCORjwIy9sg9eL3+pSEodWBFEFEICA82JzWBbKz1dSrX//+MnzkCJk4cYCUBt4QX8XTkhHcEveaxkTrr2/4ZdmafvLuuuKzSIg5IYy7QVvRItCBCOzf3/QUrQO7bpeuWiIgU6aulQunrZHjxwo1CtbRI8Vy9GiR1NcRxemUDBx0QA4dLJVXX7lYjh1L7GQt2fC7gEDoWvayL3/ta0lj8sjDD8uunTs1/G2ihX22tSeJCANjxo1TArJowQJrgpXoTbD10x4BCMj04ktkZN5oefrAE000IJhOockYkDVQXjs6X8qCTpRNwvbOKL5UXjj0rBwPHg8TA6JWEc4Xs6lXDr8kh2odfw9Mtoi09frR+bK3ak+zRALCQ59Tiy6SCYWT1Gl9+YllcqoZR/dEwU8FAoLMiAl8R5SUIyBGu2BMoAz5aMnvA8H3maf/IDOmT2lMnkcUlno5eeKEvP/uezL35Zc1khSCO0nCSEBY16glcFRr6jLhFMiHh1C7TjSDTH9Ak+qpZoNlqT4Tjl+EkpLMTBW8HQ3KmTweZty0YZIDogGpqUF74RABY9pltCY4y5tTfupyHeMJR8KqcxIhmsEqYYCE1NfrKSHmCtQ3CQ8ZN4QGnxGIkZO0Mah1/QE+86k5Gn4fTsZzkXrBDwYyAt3gL0cbUt/gaEAwu/JqBLAMKS4sVBICtoyBgr1yYXGRlHbrLoOHnCcXTJoovfr2kaLiEqmvfE8aTj4untN/lYy6+J109x32y3d+N0RWbi4Ka0IMZh3xkNg+LAKJItDVsqG3RECIgDVm7FbZvbO3rFk9TE6eyJf6esfvw+OpF0y0brh5kSx+a6J8tMIx0Yq34MzPYUky5Ze//a2GKve3wgyKfj9asUIefeSRZIYgJcXFSV1nLsrOzpbxEyZoLhBLQFoFpb04TRHI8+bJzNLLZWjOMHnqwONNCMjIvFEyq3SOzD8yV/ODOKF4vRqxCq3J3MMvypHaI1Jb75jsoxmZXXqlvH1skRyoQdORoeF3u/u7y+Wls2VR2Zuyq2qHRraK1GYgF+V782V6yUwdy4bT69RnpLahttWmV+bWpAIBQRbs1atXh6yWlCIgkVGvTBhb/t20aVOzmc6/dd9X5J57/lH8fp/4vI0mRpVVsnPHDlWfL1myJExAiABVVVklUIVwkj8lDs4LE/LBD2ZMCN74RqB50EhVylQcAsK1jOtM0sEzJlzme6Mp4VoIBT9ExTLhdg0B0X4zMjRalyE7Jvs6Jk2cpCkJaXSM56WKZkRJThA7ayd/hztxYTQtDQuLeXHTMZli7BAaU1dzg5C3pNEnBUhwRldHdWlQAkZ4YM1d4vUq+cjNyXbG10jIcvPypKCoUIqKSqTfwAFy/rixMnDwYOndp49G29JWGmok49RckZOPibdqQVwL/cd/6idPvdEnnFzRmmLFBZut1EkIdLVkhC0RkNJuJ8TnxT8tT2pqMFHlGW/cT8kllF0jd/7tPM0F8sZr0xK6I8eayfEUTyMQkLaIZ79+3TpNRJhMaTUBycmRCZMm6f5JFCzrhJ7MXbDXpDMC+b58uaxktpKHSAJya6+PqfZi7ak1ku3NkoAnS/NzFPgKpXdWH9lWsUUO1R6SPVW7ZFvlVrmq+zVCZK3V5askyxOQgNepn+vNk/7ZA2R31U415dpbtVc2VWxwZMLGfCE9/T1lcuGF0i97gKz8/+y9B5hdZ3ktvE4vc870Jo16b1azrGa5yJK7wYV2gVwCgRDCk8ATbsKFEEIoyb1w738NIQkkhBiMAeOGARewLcmSbMm2bKtaxeptZjS9nd7+Z73v/s4czYysUZnRSN6b56DxzD67vPucvb/1rXet1bUVb3XvkDauQktga5r6vMs9EgAID54A5EJzjAZThBEDQAZyvTIDa/ZTNzT0OhMUntitt6wS3YfHQ5cqpw6SHU50dXRg2/bt2LVzJ3bv3i3aD2Z/MIyPDlBet8dynUrKYNwIyQ0DIgBDLGqp33ALeHCyO8vaubIJKrTWliXVbhA4GIbEHKdJU+c2qKVg25SZwTcXmf/ttsCPGAE7dXuk4LnNQn0KQQRZjDhZj3g83yPNdfh7AoZeHUlK3q+tYh4BTmRhDGOjrA0ZnZxoSERE71IwJaL4XFZbsSyIRrAhblgej+WG5RNNCAvD46LwMlQcRjhcgtrRozF91gxMnTYdk6dMRlaujohKRHcjTE38JBydD6H7xL+jquTMlr6rPzMbnZFAHvCZ+thakMF8ze11hrsCdMHizfVKWc4WRHgmkTn1b8FgHJ/40yexd/fEYQUgX/67v8OkyZMv+BI88stfSoDt+SwXCkCCRUWgjqV21CjJAbEByPlcBfs9l3MFqLdYVXEzxgcmSA5IoQvWPTXvAwEKW6AimR4kskmkckkBJVeF50o7VXemW3QdDAy8XQINa9CV7kIkExG9CBkM5ocsLF4kGSC08eU+XmzVyVEyJBWeCtxUebOI1+msRTATzUT6ldUBdo+cH2PLjY0UAFJdXX1BDn6D/byNKAAykOsVD5DsBwfOfRfqPtau+R1qa6rgcTs1uI9WtfE4mk6dwo7t2yX3g2np3Zb9LgPCyCBQPM0BMxkAASAuV2+7kzWAl/YsaUFSzQaBjWo5fAIyjBuVukD1AgUCE/7N6C8MSyIgRhLR6Yyl7lfGiUtbvCDgQberzATbB6jl0HwSs6hFsICJZEIcrehmxeMki2HWNe1Z2tal7V0EPwQZqkXpBTqG9WFNhIVxWq4PlvODAhJYNsVOYT0IQii0ZJuA26Mi9kCAyelB+HwBVFRVYfK0KSKinDNnrgjoqamh5kaYkCwJpYwwQrFYHN/6yn2YPvp1/Lc7gLJw79muexX45NcnorS0tCAY0RakD/ZLbq83/BVg6xCd6a6U5Z1zQHivUtajLxDxeNKYNOUE7r53HdavW4RXN191TiW5EAbkptWr8eGPfvSc9td3Zd5Dv/iFL5yXBoTbulAAQkb56muuQXVNjQ1ALuhK2m++XCtQ4i7B6spbhaF4uJ4A5FSedaAeQyZRrXGKaZuaGJyM26ruwJONT+BUskEE4myrIkPCcZz4WRW4WtHul2CGLlgHom/n1+eorNRTKvoQgpTfnXpSdCPpXPqMaewXIkQfKQCkoqJCJQBDvIwIAFLIfhTmfXCgzNTyM4V6PfXUI1hx7RL4vG64OGBmG1AqLSwHQwq3bduG48eOge0Q7W3tAkLU4lbBhO6LYm03HHkrXW2xMq5LHIiTGZBkcc7+uz3CShA85FufMgpi+CLo4D4ICgrdmwwLQfBBBoHb4KCeYIXr8e8m9E/yQAiOUupaJSCI+R6W/kSAAN2vLEtdrq9gisBCdSGy0N3K+gBxXdOOYM6b2xMmQTJONE1dHLQsBsToVLgJHgcBnvysUhkVo1saGIrSPV49Lzq3UHdSVl6B8RMnYN78BdJGQJAjmhZpgNO2NwIQCtypTWloaMSKFavQ3dWCe1YBH7sHuP064PY/Bda+5sX06dMFuBXW1TBDQ/w9sTdvV+CcKnClpaG/EwCZNPkEsjkH6k9WI5nw5OvEe0RZWSduuWMTKio68czvrsPhQ3XnVMcLASA0w/h///zPF9RKwOfHN772tXM65sKVLxSAhEIhLFqyBFU1NXjxhRfQ2tJi54Cc99Ww33g5VoAA4JbK2zHGPxaPNPwS9YmT+cH/mVqeJgWn4I7qu/B4wyOS61FonzsQQCBjwnauNS3P4e3Ivvz6fmcAs8KzsbJ8Fda0Po+9PbsFnGhTuo4VC7d3pbRg0TyD98+hXkYMAClkP8zAnsDj0KFDA9bggx+4F//+w+9KNofLxdn5nLgxsSWJQnMClzdefx10o6HlbmdHp7hfmQE0EbOwBqJ5cMsgnwNz09rD9fiz2+MWMEBAwQ8XQYhpqTKtURzv0/6WLANn6blN/jcH9BripwBDxeoaSsifOdjnsXHQzotdCDIyWXW1Mra6hvEQbYpliWvas3g80pJFW10yIFa+icwKWMwJB+ocvHMpBCAGhDCokNs29r4COEQLYsSkmlXSq9YHjC0xt0lQFQhqLolX8kkCYJBW3ZgxmD9/Aa5edA2c4uLlstqwKOznzAWvgepZePw/+cmD+Ku/+tKA17ympgajR4/Ot2HlQaLVLjbUXxZ7+3YFBlsB3i/OxzlpsNsf7vXeCYDUjTmF5Su247VXrsKxo73iRWaBLFm+Ayuu34q3dk7GujWL0dMdPKdDvxAROnf02b/8S8xfsEDv+9a9bDAHwPsp79G/fOghrF0zOJ3aQNu9GADkmqVLhQGhCL25qckGIIO5gPY6V0wFDAAhA/Jow69wIn7srKJvhgfeWnWHABCK08/GShCA3F1zH15oeQ6Hogfy6/P33E4sExUAwn+rvNVi1MNWLbZyFWpAWPSz7eudLsxIYUDCYbbRF7ShDNGnaUQAEDOzX8h+cCC8f//+Afuoi4vD2LzpBYwfN1a0H9RmZOkQlaLOIyHgg21br2/ZgtbWVhmQ04Y30hORdiE+iAhWDHolayACb4IRGcyq/oIC8KKioDAgnNGkixYdn4xTlazjVttczuDzfdRAcOGAmg+xQgBCEMKUcfM7/ktHrEI3LPkAi9hcHamY06Ei8ZwABGFwJLiDg34VkvP9pnamtSoPtET0rY5bZCtM25eCPHW2kvN1q70wz0+S1Am2xFJYHb96Mzj0k8jfM2uFgnQNPnQhEAzA7/fB56cVbwglpaWoqqrEvHkLsHjJUgSKiuDxs31N4F1e7M66m5BJ6lNWr34Ptm7d3u8jz3OYMWOGtnxZdS/UgpzLAGOIvk/2Zu0KSAX4PeW950pZ3gmAsM1qwdV7MX3GEbz+2iw0N5chEEhg8pTjmL9wn3zfH37odrS2lkow4bksct+1HAnP5X1m3bHjxmHVzTdjwYIFoJ5isMu+vXtxYP9+PP2738l993yWi2HDy2NmC9boujpsWLcOpxobbQByPhfDfs9lW4FiakAqbxFr3ccbH8XR2BHLlfPMp0TB+vXlK/HbU79Ge6rtrOfOFiy2Wa1tfR7HY8fy6y8sWYQbylcKK8KumXH+CSJc51xsMptCR7pdhOvUoDAZvTvdhV3dO866vzOtMFIACMexnEwf6uWSAxDjfGVsbXmz52CaNpZnEp5//etfwec/9xmZgefAl0P1TDIpjlB88O/atUv0H2+88YYwDBywtrW2IhqJSlE5aOUMpQzSHQ51vLLAB3UJHMRzcM/3lVVoAjln4nq6exCPxWTwy/X5Psm+8Pmk/YqD9nxbk+U4xfMzg2UO4rlfHqNpHSKAIsvBC2EYlXw+iWXhKwGEuZywE8K0MKzQBAxaIYl9RdncBoEFBfTG5YrCewMkTLuViOClLUpT4fkeDSfU/zaJ72RP9L2qxNe/qy7EABSuQwaEdQuXlCAcLgZbCMiALF+2HKWVlQiGQ1JfgSAWw2LYHd1XEq++ukVAyEBLcXExJk2adFpNDQizAchQ3y7s7Q+2Arw30HHvSlnOJkIvKoph5erXwHYsl4utnVm4PRl0dwWF+di/b3w+hHDM2FOgdS9dsV5/bfY7luhCgwi5cd4f/vHb3wb7mge7/Prxx/HMU08NdvUB17vQIEK2rHIgQBH6uPHjseXVV9FQXy/PoPMFRRd0Qvab7QoMcwXU+pYA5GZML5ohWR+HogdFAJ6wrHUHOqQJgYlYWrYczzY9jc702TN8GETIfaxvW3daECFZkZmhWYhmovA4LYMhBhQwINrhlt8xrd20Yx2JHZY2sfNdRgoA4Zj2XO6X53u+lxyA9GU/eGPla8+ePfksjsKTmz17Jjas/z0Cfg76KTw3bUE5RCMRcQl5/fXXBYAcPHhQhKAcwLP9igwGe9tMy5KZ3Td2vzrw5/haB94EBOUVFfB41T2K+SHch0kXN1khenyahG6AgBno8y9mgG50HkbrQfaBLIPRb+S1G1ablLH5NQNrAwZU2MG8Em2PMoDFMB3GwUodrgrS2SXxXP9b9SLKbIjdLrNAXNpextY0IyMxwDB/Xm7NOtH3cn1lSeSIHA74A36ZaSwtKZNMEAKS+fPm49prV6CythahkmLZvljbWVoTsz1qQQgi6e71N3/zFfz4xw8O+LmeNm2aABubBTnfr739vqGuAL8fnES5UpZ3AiD63c8hHI5i+swjqKpug9+fQCzmx563JuL48VpkMxqGymV0XTNuveNl7HlrEl7ZNPcdS8Rso4sh5n/v3XfjPffcM6jLwfvZl/76r0EnswtZCB4Y1Hq+Cxn4qupqLF22TNpZ2dLX1dmJvbt348Tx4+e7Wft9dgUumwp4nV7RftxedRdqfDWS6dGabMWWzlewP/L2Gc+DjlkMC/xD8zPoTJ89c4xtVTdVrLbyQXpDZP94zCdR7inHW907cSx+DK3JFnSlO0UHQneucYFxqPGOgs/lE0etfZG9wtCc7zJSAMhwhRFeUgBSyH4Y3Qf/fSfb3aeeegw3XL8cXo9LhOcSLiGz9w4Rn3OGaPPmzdi5c6f0y5IxEICRJiPgQHE4LAPXQgG5AQRkBciAcETOnznoZqZFUbBIBtYGgBhAYFgQZVB0AE5GhloQY8lrGBb9m2pBTB6H2vEqgDDHYwTw0pLE4xGRk4IsEzwooM1iLORPxN95PYvVPpZPU9cWK1nYimWBJLY1mHYy/olWu3n9i4lEt5LRDUDgv8I45VkPDSSUti62i2Wy0oJFAFJSUiptWGRF5s2dJwBk1NixKC0vRy4jxToNgCgYzCCTTiGVzoggffnyVWhu1mTTwsVmQc739ma/bzgrcCWloZ8NgAxVXWmF3tXVdcGbZzvUN/7pn0RLcbaFz5G//eIXB5wAO9t7T7tPWc+ac3lP4bo0R6msrMT0mTPlHittfS0taKyvvyg1Od/jst9nV2C4KuB2eFDnr8PVJdcI4xDLRFCfqMeR6GG0pU5vcSVbomwEwLYtghC2TiWycW2x72OPW7h+0BUAhetsp6KuQ8YjyGJ+8ULJCaHuJJ5NIJVLIZ1NWSHNtNPRYGZa9fL4+Ddmg5zvMlIACCeiqbkd6uWSApBC9sMMwN+J/bj11lX4xS8eQDDgg0cG+hYAoXYhl5H+WOo/CEDIoJD14OwZX9Ie5PMjFCoSIEBAUtiGZHI9yJKkUqq7IGigOJuBexz00t6X9LdpaeJFKtyGtjxZieJZddKSwb3FNvBDbVq2tP2ImCAr7VfGyUoH+W7Ro5ANEF2GFdUuQIR6jyzZC9VqqCNVb24HaXu2XXE/hjHh/rUVjC5dXng9XkSiEQFnvWxJr+0uv8SmRUwcp6hxYb6I6F+o3WAbFtcnkGC7mld1KFnaEWuCe1FRWNoH+POc2XOwZMlSTJ42DdW1ozQ1fQAAooCUbVhspUviu9/9F/zDP/yvAb8DfVkQ04ZlclWG+otjb9+uwNkqcCWloV8qAMIac+ZfdWkXtnz9W98SLcU7Lbzf/t9vfxv73z7z7Opgj6KstPSchO+D3a69nl0BuwJXZgVGCgBhdWn4M9TLJQMgfbUfBoC8k/ZjzZqnsHjxIst2l4PkHMe/kv2RyaTEepfC9ZdffllE6JzxJ/jgA4wtO3Sa4oCYad78m3F9Mu5TLHYmTUF0RkCBaYHi+0pLSvJMhQkg5GCb69Aly2g/+DsRkBdmieRysk2zPTpG9eaAMPcjLvujkL1Xi8JMDwVCCnhUp8HBO/9n2p3oVFBeTtFnAF6vT8AH9SEciDNbgxqYWDQq+2ZWCVui+OIsH+vCvxN0meshbVwWqCkU2Zs2NTGSIXhwqt6F18Dt1aDEwlYzsh9BMkd+P6ZNnYZ58+Zj7vwFGDt+vCWi78+ACJcjWSYZCY7kMS68+jqbBRnqu4C9/SGpAJncgfKLhmRnQ7zRSwlAeG+MxmIXfIb/3/e+JxNJ77SsW7MGv3jooQvel0zCWIYkF7wxewN2BewKvCsqMJIAyHCkoV8yANJX+yED+WTyjNoPsh+//OVPpMWH7kvMpJDBMFuPqB1IJyVwkMzHhg0b8Pbbb8ugnINv5oCUlZXlbcWkHcrpUvBgCbs58Ob6BCcc77P/12R5cCa/JBzOMxqGOeDgmjNzxqaX3xACgsKAQdPWZNqsuD+2KjGwj+wCFwqvk6kEEomUgAEjijf6CxV8U0xOEJOSFigGFI4aVYOJkyZi5syZQtVT9M2+Ya7AbXAATyEsLYjpDubzqUCcL1oVU+R//Phx0c1wv1wMkNCftZ2r0AErrzdREkT+j6yIEaYb5iQUCksLFms3btw4TJ0yDctWXIdp06croKKAvcDmV9gUbTZTgX8yKWzT/d/9N3zjm98e8OZjWJDCwMdC6+B3xR3LPskRWwF+964UsfClBCC8H3R2aVvE+S68L/3Hf/2XsOScoKmqquq3qe3btuFfvve9891F/n3cV0lx8QXlj1zwQdgbsCtgV+Cyq8BIAiDDkYZ+SQDImdgPzhieqW/asB9ehg7SepYuSmLBlEGWQCKRENH5jh07BIDw55KS4vxMeigcEi2H0VjQEUq0DBk+3DoEiEi+BwMFXW5xvWJxCBJoX0sxIX/PwTbfw/dqpoVa+JoWAQq5C9ua2HvM9xmnp0LBufYZ5qTVKpVWYJLOKAMgIm2nSzQjMsB2uhEuDqO8olzABl9V1ZWoqalG7ahaBItC+YBE0WOk09JiRQYo2hNBLBJFgkxHVi15KWZsa2vHqVONaKhvQP3Jk+jp7pY2My6qNzFJ6RpUyMG9psIrU2Ehll4AIpkqClgIdowjVl1dHSZNnoybVq3G7KvmaA6I5aalehq+mKCom1Tgpde0va0DV19zPZqb+1uaGi0I62PCCQ0AsR2xLrt77xV3wJz4MGzp5X5ylxKAsHZd3d0XpMmYMGECvvK1r2Hvnj34t+9/H3//9a+j0gIhvA+vef55PPHYYxcFMPL+RwBiL3YF7ArYFTiXCowkAMIxpsmOO5dzOJd1LykAKRRfk41g+5Sxxy08CbIfDz/8U2E/KIKWkDwZostoVYXL8QR2796NLVu2SAsWtSC0ETMWukaPwLcwu4J6EGEgHEB7e6sM1EWj4aFWxCf/bUCJiJXImjAx3GpvUg2EjNDVPYrMgwPyHk0qV+E330tQo2QNRdaqcUimkqDAUsALfy8icJ6bCTr0wesLCKPCY3e5PAI2JkycIIwC+/MIsKhp8QX8otMwYnARrAtQ0FyPZDwhTFBnR5dYEfOix2NxcfQiEJHWtX37cOLkSWFGDKAi0FAWxCXMitG0GDClM5I5TZK3hOmGMSkMX6yprcH4CRNwx513Yv7ChXCI85YDOXH0VVcukdgb1EO5WC4rWS08zjOxIHzf7NmzLRtkzWPpa0d8Ll8Ge127AhezAmRR+V27EpZLDUAulAVZffPN+NBHPoKW5mZ8+YtflPt4USikky25nOQ8XQjDYq6xMTox98or4drb52BXwK7A8FRgJAEQRlaYXLuhOvtLAkAGEp9zwC+6jQGW55//LZYsuQY+n2ZR0NSJ2g9xdcplVQOSSov97po1ayT/g0wKaXbuiw8Xth1xRl7F2G74vb68DqO7uxOxuLpl8fcBv/80UTgHxsK4WMcm9ruWQN1FMTyPicxIjk5Q6rbFdHbTriRgJKcAJJvSpHKPzyvv48JtcBbfz/yMcFiAU0lZBUpKy1FeXo7icLH8nQ9MhvsFGfhHLQsBkdsp79d+KH2YarigFWhIxyy6bCXTiEXjwnKQ3aE+hAxDLptBpKcbLc0t2L5ju7iHdXV1I55Imh4r5Hg+TpfoS3gcXIzAnfVlO5nJDOHfjOMXU+RZ64rKCklEf+899+CaxYvhZiK85Zxl2KL8A9yiQcjUkMWhFqS1rR2LrrlhQOnNdakAACAASURBVC0I2RVShYYFsYMJh+pWYW/3XCtAjdVAEyrnup2RsP6lBiCsAWtJi+5zXfgc+OSnP43JU6bIW1/ZtAnPPP20OCZe7OVCsz8u9vHY27MrYFfg8qnASAIgjKyg/nkol2EHIH3br0xLEgEDZ9/7LkuXXIOnn35MUra1zcZyYaL9LgfXkhyYEWvX9evX49dP/BoHDhwQDQcH8twfhdbGfYrbJyPBAby26ShoSGfSwkzw90XBAOJxdX2iYFy4FpIdOqrXtgomi3u98Pp94pRFcEFGI0WNhkojNE+DDIFly6vMjVPaqYrIXPj94CBdYu9LiuViFxeXSJtVcUkZwsWlAj547mrr6xXth4U1VJAuTIdqQ4xQXO19aY/rEAaGVsUEIRS5x6MxYT7YnsXBPe2MyZKQadj11i5s274NBw8ekpYnJpwT7ZGxEFBFJsTdm6bOOvC9Iuxnfgivg9WnTVaE50ZgUFxSgqrqKtz3vvdh6fLl8BcV6foClJQByQMQCWLROhstCMHSN7/1Hdx//7/2+3ywZlOnTrWDCYfyLmFv+7wqQPtY3nuuhGUkABBOrZCxlfvSGRbeS3g/4szdgoULseqWWwbUe/Dtx48dw9sDTHqRPd+5fbsAnnNhRfh84EPbbv+8Ej7x9jnYFRj+CowkAELjprOZdlxohS4JADHOToXZHxSPD9Qvff//+9/4k09+DF6v9vnLIN6y3+XsPQfA/JeMyDNPP4MHf/pTtLa2CoPBAvIBYrQcJoODAIQzVVyH+yQA4Lb532zzCoWCYAIv30vxuuhFrGRwPmToaCXZIxaNHygKyj6onyCTYpgPI8hWC2CfMBx+bwABfwDBUJEcH1+1o0apjsOyrXUyK4TtRC62brE1iS5a6d5sESu9nH8i8EjE44hEehCNRvKhhgK0yKp4vTqYJzhiexh/73JrixnT15mOTjYil0PjqUYcPnIIL764AXv37kMkytR1N7x+v4IqK2xRmRe3aFcM46PMQ4GVL/U0Xo+wTsGioICQ933gA7h2xQpJSWfLGsGZtGAVfIrFhcsCJdKalsmIJe+ePfuwePGNA37eKcInwzUQC3KhXxD7/XYFzrcCZF75uhKWkQBAWEfeB6kHGWi58aabsGz5cvGvDwSDFyQC5wTNxvXr8eivfjXoyxcOhfIM8aDfZK9oV8CugF0BqwIjCYBwPMo2rKFchh2A9G2/IuvAhzRZi74LZ7IOHdiOkrLSfICfirwhs/9kPQSEWEL0Z59+Bj978GcCQHhinB03qeWGeeE+uN1wUUhmuPigIQjg4JXraJBeULQmBA7cBl+hoGotKEgvDAYUVynLbpGD5XgiLtuRWTAN7lBRtt+PoqIgAgGm4/qFNTGsDAfn4eLivJCa7VwcmpPkybMdFiPA8zZgx+hUJDOEYYuZtNWWpQDBQwG92yNMRyIeQ093l7A4bDGjFoWsCBkesiQEAwRgHZ0d2LDxJby5dRsOHT4sgvNAkDQcwQVZnYwAL2aJqNZEwZG2nbGlzFKSUzPjcQsw8FnhhPfedx9WXH89KqqqhMnRaMVeAGJmGw0AMZa83H40GsPq1e/F1q3b+31OaBc3atSo01gQW4w+lLcNe9uDqQC/n2x3vBKWkQJAWEvep3j/mDl7NmbMmIFx48dj1OjRFwQ4znSNaCTw3O9/j/Xr1uXznwZaN2i1+F4J19o+B7sCdgUuTQVGEgDh+JdC9KFchhWAFLZfFbIftM9ly1Tf5b3vuR0P/vQ/ZABrRNZkQGRsL+CDzknqmEQR+u+ffRY///kvRGhIcGGyMciepFK06tUZewIAMhsUZnOQQCBg3KY4Y0/AUSFtUGRGPIICq2uqhY4iOBHthqX30OA9tbclOKKdLZkAHi8zRTiA57p8YPK9ckw+H1SBrYNv0ZDQYUpS3SlgJ/jISqtBng3I8cEbl3BFtnZwYEObXdaR++c5EtTQe14H/V54qNtwOER4TvDRzhrnsghQgO9ikrzqRwzI4blQx/LG1m14bcsWbNq0SVrRfP6AiNEJQAgYKUonAOE2eHySIC/aGv1vbpDHT0DCY6GAndfwvXffjRXXXYe6ceOEDVKgpiCtsNWh95y1xY5giW1YP/zhj/GlL31tQKBKFoSgy7hhmWBCux1iKG8f9rbfqQK8B1EHciUsIwmA8Dv93nvvxbJrrx22dqfdu3bh0UcewYnjx0+7nLx9mZavK+E62+dgV8CuwKWrwEgCIBwTD2RXfjGrM+wAZKD2q7feemtAi8WHHvwR7r77TtFZmAGlDFfpmiTgg5qDrNrwJlN49pmn8dCDPxMwwxYqt8sjjAUH1gQe5sXCktHgwuNhiw9n7ilyJzCpqKxEeUWZaEiIAEtLSsUCl7+nCJwz+wKERCLBljCXisoFRGjKN3+nIMkShUuLEsXmmixObYX8hYGFAkBcyuoYi1uGLDoUdHR3daO+oQGNDQ2S3SEMhNenx1pRIR8Svz8gAMQ4QYmvFLfHFHaeO53Ckglp10rE+IpJSxbBDuvBGhMNUQtzqqkZu97ajTVr1qKpuRkJrucguNBWLcu7SsALdSEGWPJfcQwzAnNr22Jv7PPi1ttvFwDCLJBQcVi0KQLCVPIh16DQGctcHwIzznrW1zfiqquWyM99l+nTpwtwtNuwLubtwd7WhVSAn1OysVfCMpIAiKnn3dSULVs2JMzHma7Zow8/jBfXrcu3C7O1dqidYq6Ez499DnYF7AqcvQIjCYBwHMfukqFcLgkAMfa7nE3nTP6hQ4f6nWNlZQXe2LJeAICX7ldWaJ9pbxLxOR2wxGqW7EZanE1+9tMHBYBQ/MlBM2fqZWbfShTnvjlINsCEReZMpTAjAR+43+qaGik8rW7Hjx8vDIg/4EdZebmIxTnQJ3tgmodkSG5C9YyImv8t7IeemskL4YCfA3na92piOl2zKKx3Ipfh+hSWW8AqmxY2h1kdJ0+eFBcoTXUPo6y8AmPHjpXjrKwkAKGgnW1klt1vKinOYHSSonuXQ9qlMojRerejE9GebmnL4vmzvmQkMrS+Zf5GKo3DR45gzZp1OHDwABoaG4UJIqAzTIjU0bIM1jY3psirA5i4fllBhQY4Mi195U034drrrsO8BfNRVlra26pmIRCFagowDXNhUuX5WWEb1oc//HE899zafp8X9n3zehVmguSPZSi/Qfa27QqcoQJkBtnCcyUsIxGA8Pu9aPFivP9DHxrWEre1tuKfv/tdtLe2yn3XXuwK2BWwK3AxKjCSAAjPh2OqoVyGDYD0db8iYOCg8kzuVx//44/i/37nm+IWxQG/saw1xdDcCEsHInkaGTz7zLN46MEH0djYKKwBB80+r08ocpMqboAIZ98JTDhglRl1aiMCfpSUlggImTJlirgrTZ48WVyp+KBxkWHwKqNirHXJgEimRTotjIcs0lqloMK0JMk6BB+6Qj7yIt96JKcjEX1wuoC4aDY6sW/fXgEfbDNjsnhZWTlKS/kqFccVtkcVppUbe1yeE8EZxfmik0mnkU6qFoQgJJ1UC15pWyIr43HrMdEVLJdDQ0Oj2Bq/8eab2L5jpzAs4nYliezUfVB7o+fLevA80ymK8w2AMOyQghFevxUrVogIfcny5ZZDmbaYFS5SD6umpENMffh5YRvW44//Bp/85Gf7fScK3bBMMrqx5B3KL5C9bbsCZ6oAv4sMV70SlpEIQExdx02YgI994hNiJjIcC63Mf/7ggzh08OBw7M7eh10BuwLvkgqMNABCbe1QtrEPOwAxbVDGfpfic+ow+i6/+uUDuOXmm1QQTlcomWW36ARroGwACO14qTn4w++fxc9/9pAM2MmseD2+PAMi+6Xw2kry5pS90X3wWDhIJtAh4zJ6dC1mzpolAkeCELZdebxuQQZslXK6LfbDEmErvaFsjGlRksGvuHZZ6SGijTCEiBl0q7A738LE9ithatLo7upAW1szmk41oru7S86DaefhcLEAkHBxiRw/B+Y9kYhoTwgKFIAkkUgmhP0gqHEzjZ1shYj3FYzkMmmBQWQ/eN6aS0JmhvklWbS2tYlF5abNr2DjSy8pA0Kw4lIRvupbeL7qtsVWLLIjCvA0YJELbZP5E5mfJUuXYvm11+K6G29EdXWVlcquV773yqo8Ji9MsfQh0ioXT6K9owNTp8zr14bFL8mcOXMEDBVqQfra/L5L7mP2aY6ACtgAZPguAr/zd919N65etEg1dkOw0PVv+7Zt+O2TTyIeiw3BHuxN2hWwK/BursBIAyDsLBnKUNVhBSCF+g8O+jlLz/Tyvl7r1GK8vecNlJdXiJiaAERalAoBCNkPekVlNPWbr+ef+wN++fNfgKL29vYOYT9ELG0sYwWA6FA3H5bHv2XSMmAmaGCwHVmPOVfNERAyecpkhItDlqGVS0L5CHaMCxdBDTUWHOBzMXa5vGhkTGhj27tQ42BxIAJIpDlKB+2yTSCTYvp3BG2tTWhuboTb5YSXwYn+oKyfymRQHC5BMFgkYIOWlNRpdHf3IBqJaXYGa5vUnA8+NIsCAck2CRcVwU+xOjUnFIk7HfAH/fAH1clL6uxyqtVlV5foTTZs3IjnnntBtmnAhgCNDHM69MzUllfZJsNs8V/WWtqzrGBEDg6WXbscq26+WVrHhKHRiyGZIGY5DYBY9eJ5SY5JLIG77nwfXnllS7/7FK8bWSHDgHDfxg3r3XxTs8/90lWADO+VsIxkBqSwvqVlZfjoxz4mrnicWLkYCydyTpw4IaxH5xViKnAx6mJvw66AXYGLW4GRBkAY8szx81Atww5ACvUf1GocPXq037lJ+OBvH5EAPs7QmyC8/ADVSvuWNiwmj/MPTgde3bQZzzz1FN58800BIQEf7XS1eLKOrK6tQ2ZwrNki2ibE302YMEHAB0OsZsycIZ7yFFszGbyzqxud3d2iL0lKC1NWnLT4ot5CMklyOXF+YjtATW0tyisqxHpXAgsNkLKcn3SWX2kRngvZCgrDo5FuxKM98spk6NzFdjUyG/pvS2sbWlvb5Ti4P7ZhUSNDFoLnxvYtOmTxX8n+INvjdgkAKSspRkV5GULBoOSdSNpluEh9861EdQJDsfqNxfDaa69hzdp1FqvUJY5bouuAA2mCkIxaDrOOZJx4PIU15t8koBA5zJs3T0Sjt91xu2SfCAAxCe6GBbHYD21dU3Bihd4LCKIr1ze+/r/w3QFCCQfSgdgAZKhuHfZ2B1MBG4AMpkoXdx3eO9iSec3SpTLZwfvu+Sy837y0YQM2bdwoVvF9J8rOZ5v2e+wK2BWwK3CmCow0ACIa7Is0kTPQOQ8LADmT/oOzSgOJNP/q85/F17/2t/AFfAogqKkwrUwcqJ4GQNJyXmx32rNrFzZtfAnPP/886KxFAGJyQKRFyHK9UhCkImpaxyrDwtajDKZOmyo0/tVXX40pU6eIM1ZGXJiSaGppQUtbGzo7u5BOJUWITgE7rXHj0agM9rkEA0FxzTIi8XBJKULhsOhZjOWuzPL3ieHjgFwG2dEIMqkEcpkkYjFaBfegs7Mb7e2daGtrx9v7D+DwkWMCQKjNqK0dhYrKKpSXl8uDl4xOc3OzWO/GYhFEe3qEWQn4fKiurMCYutEoLy8TIFJRWSH2wgR7ZGdo/UvnLRMwuHPnTmx86WXs2LEDJ0+chJcWvpJI70I6RQtkBSBSSxGp94YRmgc2U+J5bjNnzcTixYtx13vfI0xTfrFa0wwHwmstTlqWpa+CmCxS6bRchxeeX4v3v++P+n2ebR2IfWMfaRWgBoTfpct9uVwYkL515n1qdF2d5IQwL4STQpVVVf2cq3jfbTp1CvUnT+LY0aNoqK8XLaG5p1/u188+frsCdgVGfgVGGgChyyq1v0O1DDsAMfkfvOHv27dPZtr7Lk88+jPcfMtq+HwenW0XW1dtmzJUhoAaCSMkA5ITAHLy+HHs2fUWHnnkEbz66qvwunvte03its7Qa3aIAADJ7ND8Cg5yZ82ahSXLlmLu3LkYPXqUBPMR73DgHbXSzglI2G5UHArJoaczKfR0dom9LVupRAORzcqFI7NQXFyCkrISsD2A/ckUsgv8oPsVtLVMWBmepbAzWaTZQhWPCOXf3tYujAfTyV9/400cP1EvGg0NSgyjpLRMRPPTp8/E7KvmCLjo7OxAa2sLWpqbcKqxEZ3tbcimUigrLUFd3WhUlJWioqwMpNiKS0vkOJPSFhdHKs12K+Z6uHHw4EFs27YNL730Mt7e9zacTE63WpuyGTncPCNS0CFnnZ+2m2k9Mpg4aZIAu3vvvQfjxo9TzYklyycgY0eXaNAtAKJidKeEJ7JFjteMAITtdVOnzB9QB3LVVVfltT3SBmdllQylkGqovpz2di//CtgA5PK/hvYZ2BWwK2BXYDgqYACIGbsUtpFfijEMzY6G0mZ8WAGIab9SR6OY6D/6LmQc9u97ExUVpH50sGvacPIXQKydtGUpl03Lz2QWaI948thxPPzww9i48SWkEjqQlvcxcsJiT+jixAGxGfxKpofkeTjzs/RTpkxFdU2VhBey7ShUXCxMiIirHS4BIEEmrTs5458VBiSZSCCbzsgAnkJwgiyuz/YoMgy0z2X+RaAoqKJtsfIlAFFBtzk/tkwRgCRiPWhtaZEsAbIfe/ftw5YtbyASjSESiQk4SibTcLk9mDt3HhYvWYrrrr8OY8aOVdakow3tba0SnsXtsF2tvKxUGJBgwI9gMCB2uGRmCIxoG8r2Kx6/2gM7RAdCELJ27Trs2rlLQAq9uoRZohNyzmkN8i2NToGonkU3wI7XaOKkiVi4cGEegGiopOUiZrVgcdvGPUxb4yzxvgXSqAPhZ+c9d33wjDoQfmmMEN2AmUvx5R2OG5a9j5FdgSsFgFSWl1vOddZkSX7SxLqvjuzLYB+dXQG7AnYFRnQFOD7l8+JUc7OMqczLtJFfijGMtOgXaWbeUCzDBkCMDa5hQChypgNW32XpkkX47ZO/kMG62N2KiLkwH8IKIuToV3I2lDEg0IhHY8IYPPbYY9iwYQOam1oQj8Xlb5xF5/+M/iM/W8+Zdw7+nQ5hLOh8tWDBAskCqalltkStiOFLSkrhoF5EUtBVu6E/KxiS/A7mkSRTekzISYsUX909PQJEOCimJqS0rBQehitKiJ9WQI6R/rugriKNTDKOVDyGpsZGtLa1Cug4ebIe+w8cRDAYknakTZs249DhI+juiWDx4iVYtWo1Vt9yCyZNniT6j2QiJra7x44dFU1IwOtFdWUVxo6pk2BCum1pCrzVUkWrXrY5JRN5AMXckaamJqxduxZbt25Fe1sH0pmslTmiNeVxy0tcsHSAouCLQncV57P+U6ZMxqJFV+Puu+9G3Zi6vPBf260s5yuHitZ7GS+H/M208fH4qAP55je/je/e/2/9Pj/0rabAvdAJy9aBDMWtw97mYCpwpQCQvm20hTqvwdTBXseugF0BuwJ2Bc5eATNpatiPSwlAqGUeSnvzSwJAODilRoEakL7LRz/8ftx//z8hLADEJ65M+Tk2HZUKWJAkdEkd5+A0K5azdH2i3uHRRx/Fiy+uR0N9AxLxRN4JiWNctl+JNsEkb+foXJUSxxTmfbCVadasmdIzzIFsVVWlXAAKvT0+v7haRaNx1X5EI4hGIvIz7W25UbfV8kPbWSaV+/0++TvTxKnNKGeOR1m52gt7PcKAmEUG3iRYpAUrgVQ8io72dtkP27Wo/zh+4iRKSsqEOXhj61acOFGPaCyO+fMXYPGSxRgzdhxC4RDiCRWgU6sS6ekWYBEMBFAcDqO0pFhAEnfmcjkkK8SwQmxzSqYSeTaEAntmqry4YT3efONN1LOmiaS4XpER4vG6XL02vDwXA0B4XVgPyQvJ5rBg4XwsXbYUq1avRlW1skv6ZSPLJV69GtLIa0pdifxsJRrKtVObYdbyF794FJ/97Bf6fX6og2F4pAEg+WT4PnkjZ78N2GvYFbjwClDjRmbxcl/yVuEFJhMmB8gWZ1/uV9c+frsCdgVGQgVMbAD/7QtALsXxhUIh0QgP1TIsAKQwhdzYtGqyd3O/8/rq3/4PfO7zf4ZwkSaOOz3uPMsgDzoBIGz/UWGzw6FaEIIaghCyIL/61a9kxr7+RIM8/AtdUDiAlbasglYhrsMWKYrGyR5MnTpF3K+qqqok8E985SWt3I10OouWlja0tbWirb1V7GoJMAIBn4QV0gFLNR0ZTJw4ETXV1aJRSaaSiMVjKC4pRWlJGcLFxfD5fVZquGolRKzNAb2E+iUFgJBBSafS0i4ViyfQ2tqGcLhE3kcxenNLqySXM69k2vRpIiJPUSuRTGobFUEG0849HtmGT3IynJrkzrE9j5UDe7p4ZXWAn0zFpRWLHw4yOol4HJs2b8YbW9/EoYOHpP3L5aJ9MVvHyOx44HS6FTBYbA4ZFqMjoRUw97FixbW49rprsWz5cmGB6CRm2BMCTQEjPChL+yEaGUmNt+pjOZgRAL225Q2svvnufp8fgkXa8RJ42IGEQ3XbsLc72ApcKQDEfK+NXs0wyeb3g62HvZ5dAbsCdgXsCgxcAdNmVdg6fimzzKj/4Bh4qJYhByB9qXsTQHjo0CEZvPddfvrjf8F77roNRaGwBhDSGtYs0q+kA1QJ1LME6CpQziCbSktA1IMPPogXXngBzadaZObf2IiZh6fRj5jNsghEepOnTJIWLA7k+QEgoGDxOUim9uDEyXocP35SWAe2RfVEesQmmOssWbIYEydOkJYmti01NzfJfktKijFh3DhhQqifoJ6EGR5l5eXwBwLCZJg09YzFSnAgz/PLpJLo7uoSECB9eA6H2PByO9FoTFy5GOJIJ6pwSbFY6lJvQu0E258INqj1IAtBty+2fJHxYDigiUIUeb8l6CeAI1hg+1Y8EReAQPARi0RBN6ydu3bhrbd2o6Oz0wJMfKta8Doc2ppm6EJhqKxsDzIx2XQK111/Pa5dcS2uWbwIxSUlAsrkmNweAZtyXJajFtvbtD3NYkBEwEOQlpXz7+joxJhxM/t9fngss2fPFvBRqAO5lF/iofry2tsd+RW40gBIIRCxmY+R//mzj9CugF2By68ChUyIjIIuUQcHJ9TZyTNUy7ABkL4J6GdywNr66lpMmjxRBuduj1cFydYMeF4wQatXy1lJBs8EIOm0JJ0nYjE88MBPxIq3rbVNWq4MA2IemPIv9SPWbD0ZjOLiMGbOnCGDV9rF0ved4IUC7Vg0juaWFhw6eARHjh5Hc3MLuiM9SKXJnATFSeruu98r+gY6XfG9BCA93d0yoz927BiUkPHweYUxIHvA9SR7Q8ToCqoIpCS0j4NuhhNm0rINAhDJRPF4ZbAeiUQl/TwSjSKeSCCdygjwcPu8AoDcZI0A+OnCFdDcDorlpcuJu6LmwgIIoo2xAAjBB1/UjRCA0BGLLWa0GT5y5Aj27z8gdrwEPmRIJAckCwUgkliuehBtQ1PdBmdKuU3kMli6dKm8rllyDUpKS0RnQuaEx852O4IkMh7U/dAhywAQFaurExqBFRkftoYtvfZmHDx4uN93g4noqm1REwPbCWuobh/2ds9WgSsJgJj7Ze98UG946NnqYP/droBdAbsCdgUGV4FCwHGpwAePlJPozAIZqmVYAYgRoPNfDmT7zqBxxv7I/jcRDhdL25NkZnCAzJlxk4QurlYKOvIvaSFiC1ZGROcPPPCAABAyEQQ+HCAbrXiv01TvALmnp1sACK13+aIVb1PTKXR1d4lFb/3JeuzevRdNjS1o7+hS7MKBvMuJLLIoCoXwwQ++HzfceCMmT50q7l2pZEI0KNRwcOBPt6lRo2oFPLDliy1YRJdu6lyM05MM2lVDYVrMyD5wAO/xemSQ7vP7pSWLTBLdqtiWFY1EBaz5An74yXh4PJb7F8GGOk0JsyA4xyEtXroPuodZYCdJATprmJRakvkgw0PwwX/pxHX8+Ans3LETJ+vr0d7ZgUSCx5C1WA+nMCAEVyJqtwT1PE7qTbhv1pYuWMtXLEd5RZnsTwAHQYs4nmkbl4QqmgBJASRkbAhwCEBySIoQPYYPfOjjeHH9y/2+G9TxsG/RsCA2ABmq24e93bNVgGGrA1mNn+19l8PfbQbkcrhK9jHaFbArcLlV4FKCjsJaXREAxGhAjP6DjMPevXv7fSZmTJ+Cdc//RoTSov8gO8DBM2fG6aZkBRBKbrgFQIQpkHYlWt+mEYvE8JOf/ERasDo7O2WgzYEo25TylrzcswiodYY+Go1IqxQzJK6+eiHmz5+PpuYmtLQ0i9bj6JGjeHvffiQTaTgcZC/K5Xh6mFSe0/anD37wA1h27TIJuvK43XJMHe0dYoeby2RRZPXS8Zg4e882LDIg0obFwTrPz2J61DGMyepWujqBgpOtTmxV8uSdpjgY5zmzPYxgjcCDgIkMBxdjLKWeUr3/bVLhWU/9OYdcOiO6k3QyiVQyLq1srAvb5Dq7OoTV4WzuoYOHcfjwYRw+egTpdA5ZccFSowDq8Pkz9SWSrcKMlLSeg8upSegLr16IJcuWoKKi3LIe1uMV0CFsBfUkFuiwgJPa8uqLZ8Jzjiei+OKX/gH/9ZNf9PscjRs3TlC70YHYVryX2+33yjleToLwfmcvdgXsCtgVsCtgV+ByqgDHZNRDD9UyLAxIXwtePpSpAem73H7rKjzwo+8LG0HQoAJkbclRNywZLVvWu5b9raUFEXCTTCHSE8VPf/pTrFmzRhgQggy24zD5nO1YZnBOUGAASCIRE/0EW3eo5ViydLFkijQ0NuDA/v04cvgwjh09Dp8viJLiMkyYMEkASGNzE7IOoLisBO9973swd95coawImjg0JyPDVicOxQ0zIK5WPRHJEQkEgggyHd3tEYvfPACBtpSl00l42I4k6eLUwaszgi5WfoZVBpOnwRYlyTyRwbuCDv5OQEgewAHKKRg3MYrycyp8p/g8GVg9tQAAIABJREFUGpEE9jhduDra0daus7hdXd1obGjE/v37sWvXLsY/ijBfclqozygAeaYNi9eFbA6x1TXXLJI2tXkL5qGsvCzPnBigKZoNtt1Jv6PF3IggXevHF521RAeTjOMHP/oJvvLVf+z3OeIXhknrthXvUN027O0OtgI2ABlspez17ArYFbArYFdgJFXgXQVAPvbRD+L//O9/kBYsDh6NoNqItHsvjIIHk4RuBOkEGdRrGBE624ZMIjlnzfn3fCaEaCDUwpczlAaAXLt8GVasWC5hd+3tbaJ9aGluQVdnF5KJDNwuL8aNn6DBhAQKuQzgdkr4X0mZugVQy8A2rCABhj+AgNcHj9sj2giyH2wTo5iajAXDDN209/V6Nc/EisPIZKlpSashlIANBRWGbRAIkned4rmYQD9ldoTdyK9vsBv/pqGHwgoIa8E4c0IJSDZIOpFANNqjxykApAPt7a3CZHR2dglwZCtWfX09kimGLqoDGR2xTJub2vsqYOS+3C4nAn4fbrzxBly9aKFkgNAq2IApy9xM2A+23hkwxTYucckShywV0RNMcV8UyP/84cfxF5//nwMCEOaBFLZg2VkgI+m29u45FhuAvHuutX2mdgXsCtgVuJIqwLHYqFGjhuyUhp0B4WCVfdFHjx7td1J/8eefxN9/5a8lhNAAELIfAhSMbZMMtXUgbQCI2MjSBSuTlYyKn/3sZ9KCxQA9DoDpZkW9AgfR+YFojs1Daq1EXQY1A2RAbrzhOqxceYPoLtiCxCAxaiwy6Swikbi0HVVUVorug6JvWt4mM6l8C5VxzyoKBVFaXILiUBgBnx8esal1iP7DJI7z3MiCuP0BuHw+adsSEbp0m2lrGXUa2kpl6Tis9qrTAUg+qtGqk6bEnwZA8oGHFgCxtkcmiG1sZEDoukXtSiwaQTwWFRaEwY4EYqwvLYGPHjueF+g3NDajiYL87h5xphInLGshcCIQYs3DoSJUVZZj1apVmD9/riTB04KYbJFpz+PbCBh8PrakKZhyO9lSpq1Zct1EB6QAhJ+jF9aux/v/25/0+xyx/YqWyjYAGbL7hr3hQVaALZd0qnu3LFUVFZKYbi92BewK2BWwKzA0FWA7fHNr67C4Y3Eyd6iWIQcgxi+eA1ijATlTCOHnPvsp/MPf/Y2wAgz84+DTSQE5dR4yTW7l0pl2Iuo4qJdgencimR/wPvTQQwJATAoxxd7USZAFMS1YMusv2gKHDKzZ9jVnzmysXr0Kt912q7QjMdiQLACdq8g2pJK0wOWsv1rhSmJ4Jo2Uih/g8XkltJBghtsLFYUQ8PvhcrhkgI+MOkLxvRxAc0DNgEMK0V3UqZgM8LxIQ4XihWxG3uaWgmzLMUtaqfLp4QJN4CBis1qwyLawJaw38lB1H9aa7J0Sm9xkPCHp6ckE7XdjiMci2oLVpgCEwIkp5MGikGSkvLzpFWx5/Q00NjXJ7z1u6na0prwuFJmTqRg9qgZTp0zGDTdcjxkzpsvngOwPRfP8mdsmyPBQSO9T1y7WRm2DPdqOZ+ljeJ68HryWL6xbj/d96BP9vhu0jZswYYIdRjhUdw17u4OuALVTfL1blhnTpmHG1KnDfrp/9uefgsvjRSKZhsPpRSBQJPck2peTH2Z+E+eyOAnE+6zco9IJ5FIxsW/PSlaRTlIxEylNXWGaEygZpPXWjWyO71W3Qm4zlXGIE2DGmnjJ5VSjxkjajMm6dbhAnw+XI4eA242f/eRH2PL660ilgf/xxS+jbsI4mYR58/lHh71m9g7tCtgVuDwrsOftt7Fn377TAMhQCdevGABiMkDOBED+zz9+DX/y8Q8LAFEnJA48OettZNQKQIwORITkBCApApCEfJKo83jkkUewdu0aHD9xXNLA2daT5YMi3yak7zPuSJyhDIXVhlcAyO235ZPCyUJQAE79QTKZERDChxOtYJljoaBB+6YonOcDj4An4A9IGxZbr+SQrWPloJwuVsYByssBt+SduPMgy6S7K8ToXSQdU9ylevUfVoNW73pkNqyUD+F3RKyvLWt0D8sTSdbvpZqnCdCZwB4XFoQJ6t3dXfJSoKDHQxH+6Lo67Nj5Frbv2Il9b+8XgXoqmc47m0k7V5pAK4kpkydh4YL5mDv3KowbN1a2RZE6WRACLG7TABCCkF4Aop8Bk2bOGvNa8DgSqSS27diFlTffMyAAYRp6XwYkDz4vz3uOfdSXYQVsADI8F+0zn/kUnHIf9QpT7fdRW+cW/SA4AcTkWTK9vH/IhBJ1cMyOIgBJ6j1QDDN0cohzSmodn5X7fTpLEOJAJkfnQwUgXCeVhQAUjajivmQ3yOV1bHrP9fmc+MWDP8Vrm1+XiZwvfvl/YuyECeKoyON59bnHh6dQ9l7sCtgVuOwrsHvfPuzeuzffGZN3dx2CvBBqanu1xxe3dMPGgBgLXt7cGxoahJ3ou3znW1/Fn3z8I+IOxYEoHyCSfH5aUcmEaI6HtmBxpj0tbIUZcP/mN7/Biy+uw4GDB6SNSGbQZf5fB698qQ5CXbaisZgAB6aJr7xppTAgtJL1eNj645DBMreRiPPhlMnnk0i7lFgEU2ZuhOYKmgo6xiynKWUdzMCcDzfu2+Ox7IaZe1HQapWlBiSbVvG9iLw1H0TcoOS4ub6KtVWhXgg7zN4LBPvMAKFA3VoUlGgbmwYQJsV1iz8no1FEurvQ1dGuWpAEW8/SApD4QC8tr0DN6NFob+/A8RP12LLldRw8cFDyUSSRPkOglhQAkstlMPeqOaC2ZsyYOpSXa6gNdTJ09FKWQ9uspO3O5QZDCEXzYQnPpQVLWBHN9OD244kY9u07gOUr7+z3OTLX0gYgF/dmYW/t3CtgA5Bzr9n5vONTn/qYgI8c+1cdzEFywu8LClBweXxw5NKyWdGpiZNeEj6PC9lMArl0UrOK+FwwLAgd/sSNUAEIDTYyZEDklUGWQIT3cwElVqyUABC993Kyg9o3r4f/OvDUU0/hySd/K0Ye999/vwTRZughmHMKy7Lh9zYAOZ/rbr/HrsC7sQI79+zB7j17VMtrdZ0MVdjyZQ9ACl2wOEClgJn6jL7LD777bbzvvrvEolZmwiXVW5Lz8iBE58uFD9f2pCzdmzQB3WRerFu3Dhs3bsRrW15FV1enaED4QOJbtSWMe1Zgw58TyaS0/rDQZEAYKhgI+uHze61ZdKZ1u4TGJxUvx8UsDcuZSmbWcwoOmNzey0FYZ2i1JMlg3xrk6+Cc1LxLWrfInuisGZ+SFjigDiRHjkUZAgIOnWlTPYRqLpQN0XcaQKKbYWOWWOzKFnJwWm1XamPMffBBqgwSAQPDAinoT0ZiAkA62trQ09MlYYQEINxnMBRCeWUVqmtr5WEfjSVEqL9t6zZs2LBRrIcZYKjHwwJlsWjhQty0cqVYHTMYkawSrYp5XcQ6mPkfbGHzMOvEb50bgZ/+TYIOyfxYYJSDgmQqjqNHT2DhslU2AHk33oEvk3O2AcjwXKg/+sh9CIaKcfDoMTEJaWpqw9gxEyUziPcs0hK8h/L5QwZCHQKZEcV7d5o9WsKCZLIpndRK6SSVaAv5r0jltH2LDAgZEbZkmWwi057FMFadjNL7rwtZrFm3Bo898Vt0dkXxr//yfYSKi5T55a4JbNJpbPjDk8NTKHsvdgXsClz2Fdi5ezd27d4t41CjkR0qo513DQD5+Y//FatX3ygAhO1LxgVLB9xmSNsLQBSEIA9AhFZ3OrB161a88spmPPf8c2htbREbXmUKNIBPwYcKpjmLpUniLoRCIdx882q8//3vR7i4CBSS8738G12d5IEDzajgE0y1IepMxQePphNaYEAlK8pScNfC1nAmLY00dSPJpAYBOpyihWDAIIGWprQrEFDBdVoABDNApGmATIgIssmCKBMiqnWDdSxw1fvfoprQI5FjUjAi1rwEHAQgtDBOpeHIpoFsGslYAtHubnS0t6Gzox1dnZ1IUbfhdqO8shIV1dWorK5BoCgkx9F0qgmbNm3GIw8/ArbXEYAwC0TdwFxYsngxVt10k7BKvD6FAITAS9rUBICwdzuQB1XafqUtWJIDQ9ZHWKQMkumkgM6xUxfYAOSyv51euSdgA5Dhuba333odxowbj46uHlG7hULF8HmDiMYTKC2ryFuw0/Ew6PcjHo/AH/Bp22suBafcm1PaP5XNCUjhvzJhxfuuTHpkrMeIsh65LO9lQIa6EoIU8P6k50t+2uf14Kc/eQAvvfwKemIJ/ODf/0PatITdRkpYFIewIDlsfv53w1Moey92BewKXPYV2L5rlwAQyVCzTHoKmZCLeYI09aFh0FAsw9KCNVgG5IEf3I+77rq1lwGRaSQOPAtcsFRQYUWG51Tbkc4glUiqa1Qui6PHOCO/FU/+5kmcPHlSKap8CxbXUQtbYxvL4yNscHvcwoB84IMfREVlmczYs/ButmJJi5S+dDBsOp8shobbl/wPjUkXETgXWc8wNirMJv0fi8cEEJAFoEaFA/F8H5+0CKTEkUqi/mQXZF10HxToO1zaZmCSxPPBjIYLsdgUPtwMANEDUgBiAE6vmxiBCFPQKczMIBGLobuzAy3NTWhuapLj8fh8GFVXh8rqamFBfIGgOFKx/eqljS/h1088KboRLgQ1fq8XFVVluGbRIqxYsUIevDxOaWuzvjhMd2eNyX6wBsKAWEyHi6J2tl7REYt/93gEbFLEn86k0NnVg+lzl9kAZCjuDPY2L0oFbAByUcp41o3ceev1MpHT0d2NgExg+VF/8hSmT5+OrMOFQLBEHiVqO55ArKdHMpjYnkWBOCeHeH9SR0CIIyDvVS+99BI2v/qa6D0+/ek/g8fr1/woua8rAOEUESenrCeT/J2TKf/5nz/Ctq07BQT9+3/+ELFECpm09T5yKQ6yLNQmprHlhafOeo72CnYF7ArYFWAFCEB27NplhTdra7oNQAb4bBgXrEFrQP74IwgWBeF2U4xshdxZ5IKM5+VnE0KYQ5ZtUSKipvaAQuk0Ojo7sHfvHjz++OMSmkeXK8mTcLjyCep0LJGBLol4znSx/zeXxvU3XI9777sP48eNRVV1lbZgWQBEnmDWTLwciBXaIYDEAJB8m1OvDiSvt5D8irgwBMwZ4YcmHAoJAOEAWzqWrBpSK0KWhEyF2gxbye0OIBAMiXuWaSWT8zLdW9YMXB7MWOGDvTJ+ZUNMHggpJIcVXkjwwVc6mUIiGkNPdycaGxpQf+KEzBQSKFTW1KC8ohKl5eWIJWmp3I5du97Cjm07hHkSLQ6FmOm0ALjp06dg9uzZmDVrplwb7pd5KEYQrmnlBB7qgEVRvulrJNDideMG+Xe+CITYMpfOZHDg4GFcf/PdNgCx78kjtgI2ABmeS/PHf3QvTjbUi36Md1E+P0bV1kmrLyeNyitHoSfSBUrIfZ4cejo70NrWibkLFskkB9tQtbWX/AktydPIZVL43VNP4cUNLyORSONb3/pHeP1k0+l0xUkctmCRw9B7c0p0fS6ZlPnXf/sBdu3ajenTZ+LzX/icMCpsWSXrTPQiLVxUgRDMZDPY/NzTw1Moey92BewKXPYVsAHIIC9hoQ2vccHiQ4HMRN/lO9/8O3zijz8ignA3Z6aEAXHo4NoK4pPeXY73JYjQAiApiqfVdYkz49wnc0YIQDgoPnbsGNwubecxKduceVLU6BbwQZteWu4uWbYEd9x5h2SCaJaEhS6p7TCCcz5IhO2w0rplxp4aDU0dV2cqo1tRsMSHDEGY5GtEI+LaRXBDy1gCELYbST+ZWKjoA42zcjLgTiQlLJHHSEFkRVUNikvLLDClISnalqVidWV4LFVIge5DgFte/6EgRPYn7VncH2fokoj1RBDlK9KNkydO4NiRIwIKCADYTx0uKUVxWZlkguzffwBvvrkVjQ2nBAjyPKXNLZdB3ehRWLHiWnG+qqgot9rfAA9rWWAsQBaHrVd+fwB+5qLQvUY0LtaL7VkCUHxaD4LNdBr7DhzEylvv6/c5YqjkpEmT+iWh2y5Yg/zS2qtdtArYAOSilfIdN/SZT34Are2nsGffXlRX16G0pErusXzOTJk+A5kUWQkn3I4UEpEO9HR3I5nKYs7cq1XXQT0cnwluN1qbW0TTdtPKm4TVfXnTa2Lp+81vfQsevw8OJ++dFoOuVIh178/h2MkG/MePfozDR47i/R94H+64/TakUznkHNyHsip6f3QineXzTXUm639vMyDD80mx92JX4PKvgAEgYnZRmJXWz7Tpws+1tLQUwWDwwjc0wBaGpQVL+vYHkQPy15/7DP7mC38pIX9eEaErYKBYz1AD2p5j7Ey0/Soj7UpJcY3ioJoX5dSpRjz33HPYvHkz3nzzTQEfnGk3rVhGhK6ZFdryFI1FxSr2hhtvxOLFizF16hR1wPK6ZQAsYnhqPGRWXl2oTGo3t6sicWOc2+veJfoPS1je3dUpbUrcnz8QAPvrROMgjIqV+cELZbl8sV2LAIQPQM780362uKQMoXCJiNfJEPD4pS4CQHr9tzTA0Fx1C3xYehDVgKg1pbIgBHRpZNNJJCIxRHt6xH73+LGjOHzwELw+euwnBXTEEgmZNezs6kZHZxfa29sRjyXk8Mme8IfRo2sxbeoUXH31QpSUhJUwstLZfRSeU1fDYxdNvRGg+4QFUdaJAnR1w+LfRQvi8WjWCz9L2TRe2vQa3jdAEOFAOSCnhTIOyVfJ3qhdgf4VsAHI8Hwqls0vx+7drws4qKqdjEmT5qOxuQ3Lly3GSxvW46pZM3H8yH50NJ+Ei2Ajk0MimUUsmcOEKaNx6PABJDNAdW0d2ju7pGXL5Qxi44ZX0dUdRzQehcvnxuyrZuHE8eOorKzG3LkLhLGdOmEy/EE/1qxdj1//5hlh2r/ylS+htCwkrbi8L6bk1s72X2VAxMaX4IU8SDaDF56xGZDh+aTYe7ErcPlXwAYgg7yGZsZnMADkLz79CXz1y1+QoDsJpBNxci8Dwl3mrcZkwExhNy1kU0jEOQCmz7s6RnFQvGXLq3jxxRcllJDtXL0AxArLK2hXohUiWYbJkydj0aKrceONN2L2nNkqpPZ7BSwoG0MNhgrA1UolT8+o71SBCFxBBR80jKZSANDW2oKujg7RilD0XlVdLXqIfFYHm7mkWVkZEFL3whxlMkiQpUkmpL/Z5y+S7BK319MLQMyxFFyb0wBIAQNi2gakudliXShApyWliNB7etDZ2YGTJ47j2JGjcHnckry5fv1G1Dc0IEkXL8I5p0t0LNIuJ8rMHPxeH+bOnSNtV9OmMZQsh56IakMkKZ7tVBbAUFCnVnIGJBJ8ijjdawnQLd2LAaRsW0hlU1izdgM+/LE/7/dJLAQgBDOF/ZGD/Njaq9kVuCgVsAHIRSnjWTeSi7yJcNAPr9+BYCiAQFEl3M4SZFJRuJCBz+mT+7saA2qLFY01pLWUcjpHDp1sO43E4XB50R1JIJ1yIhgoxd6D9YilUvCFAigK60wgAw27I1EUhYrg8/hk8uvk8QZct2IlPvTB9yOVUI1fKpsGm7ukVYuPAdF9ZIXV12eFMtHP/vaZs56jvYJdAbsCdgVYARuADPJzMBAA6ezsxKFDh/pt4dOf+Ci+8fdfloG5uk958i1YRsMgM9kmYI8J6cKspESELi1FFBTmcqL7OHbsCGjJ+8QTT1guKOoapcDACjikFa7LLe8hZU/LscmTJ+GOO+7AwoUL4fGpXSyzSehwxQEzZ+9Vm2A5UMkoX2kaDWzvFaDLSZJ2p44jnRJNRXtHm7QcMS29rLTUajXT9eT8ZDCflXReHhPBG1PG+dBiuwCDtmgJXFJaIloQEaXnqbeCDBBhaPQhp+1X5oEnPlhaLzIhFGCKODNN9ThSCQUg7W1t6O7qQndPNzo6OnDo8GG8sHYdmpqaRZQv9rnM6hAbYr41g9GjRmHihAmYPWsWxo0bI9eSmpfuni4Vk7tc8FHY79LWNoYwGltjAi+2xJERItvhDygbIg987sdixDhoSKQSePr3z+NP//yv+32OeA2Z3tk3B+T0PJlBfoDt1ewKXEAFbAByAcU7h7eeeHsTgn4XRo0Ko6iEeU9puF1B+F1eMAUqFcvA6faI81SaAIDdp7zHMhTVYmczDicSqSwi8TSSGd6zeZ/34dCJZkRp3eshlMkhFA6hOByW+3Ek2oNENI6uzhhmzp6Jz//lZ4RNJsPC+2o6m1LnQtGL6D2YACRL5yxx0tIspmee+v05nK29ql0BuwLv5goMJwAJh8PgayiWIW/B6gtAqIOQwewAAOTe99yOH3zvOwgVh0F3JDINYnHLM5eBtA6otW3KCtEzuRoUDVq2spzZkkFvV6e4mDz22GPo6OiUNiZtd3LKA0gXDRCU9qF0WvQnlZUVuOeee7Bs2VJ52ASC1Cf4ReDocGvPnbRhGZ2HDMAtAGKxHnkQoo8cDftLJtDY2Ij2jnb4fF6EwyEBIBLIR72LFSjIcyagohaDepmuzi6pBVvTSsrL0NMTE+vg6poaFIVDcLms8MMBUjC1RUzZF4EfBaJ0AXUGgKRTcEh7QAapeBKR7m6xMGYdWZfmpmbse3sfnn3uebHaVXbCagHLZGVGkKwGgcf8ufMwfvw4lJaViE4nkYwjHo/lNSBeq2dR0s+9XgEhAuGECdH0YgEqgYCGSFqgjMGUXI+WlwyYfPCXj+GrX//OgACkrq6unwbEBiBDcQuxt/lOFbAByPB8Pg7t3YbKyiKUhjzIIQGfn0ysA64sX9SO6X2QLVoSHyUWunyOOODM8L4fRHcshkQ6h0giLUAkRtDi9KChuRMJCsw9PmGgRYvHCRuCCOi/TocHHpcLf/qpj2P5soXCzOcyDmFZHI4scum0To6lLOG5y4Pmtk509kSF2X57+/bhKZS9F7sCdgUu+wrYAGSQl9AAEM76cCDLdiI+lOlO1XdZsWwxHnnoR9JaRAAiA31mbphoP0vnYEWeCwhhgjcH9zKrRAF0TtuW2JZFq9k33nhDUmgPHjyEU6eaBEiQvcikVSuiaeiao0GmgQsHvcwCueGGG1BbWy00u2gSKI6mdoEiauoX8uLvvgCENrxGgKEUu7hapZLCKhCApdNJBAMBVFVVChtCjYXS8TpzxsTc1uZW0a8cOHBQWsxGj6nDnHlz5aHJNqwJkyaipLRMjsU4R/WtaSEAMeBD9qN7EwcsseTNpMUhhu1YyXhCmA+CjmQ8Lg9bslb7DxzAU08/hYZTp8Sy2EsA4nBJvQN+P6qqqrDkmkVYdPXVCBUVidic5yxe+4DkdvD6iw0vwQe1HmQ7LA0MGQ6xI6bOxkqJZ91FlE6ARgaKbQ3pFCLRGL7/bz/G93/4QL/PEdmP2tpaG4AM8jtqrzZ0FbAByNDVtnDLTY2HEOnqgM/tQNDnRaAI8Hkz8DsJDHyIJbJwSzq5lc/ERPMMnasY5JGR50IsERfmI5EBoomsaESY29HU3I1EJoucy41YMi3sM52u6J4o+R+kMqxspfLyMGbPnYExY0ZJy1dTQyNCwSBmzpgGB9IIh4pQUVmFQLAMX/7qNxDPuJBKZ3HvyiXDUyh7L3YF7Apc9hWwAcggL6HJpzAaEIIQDlh37tzZbwuVFeXYuul5cVnSlGwNoJO2KSvxOx/2bRgQy35XgI44mSgAISihT5WkdG/TlO6dO3eJk5NhQE5vW9JBLwfIBDN33nknbrjhetEwsNWJ4EPcBiwQwuMSK1+yNMJeFGhBzM9yhsoyZC2L4LbWVjQ3N6G+/qQkjHMwXlNbIwNmDTTMiqC+vr4BRw4dERcX6lkIlMoqKgSEVFXVoHbUaEn8DRcXi4TDBNKcVlQjUcmzH4b20XR0wUiW+JwOWAQjDoZwJQhAujX/g/aRbHlKJqUF6/FfP47jx4/LblxOj+hVWPPK8nJMmTIFc2bNxozp0+D1aGuWtHlZYYxsJxM7SssoQC14FWBIO5YFNAzz5fHSCU0dsUzdeSzcRiwWx+f+5u/xh+df7Pc5mjhxoriLmW0bcGYzIIP80tqrXbQK2ACkt5QOqw1UJm4cOQSL4pgwoR61o1tQWsrg0zCOHB4tL83Y6A1YPdsFeWPLJvhcToSLfCgKuhAu9kkrqd/pQsDvQyQWh4dtnGzzFAbdsjWXex7DZWmIkUMim0Ui7RAAEqehBlxoautBNJkSAEKskRSGRK3RObnC+6jYwDMC0ZlDXd1o0Q3mkJF7dyIWl3vkxPFjpWWruIggZSGeX7Me6QwkbPa+VcvPdor23y9xBfj8KCsvx9z583HwwAE0nDwpk6p9F45d6saMwfiJE7F3927UD+D4eYlP5Yrcvd/px+TgFMwtno+1rS+gOdlkuZJeeadrA5BBXtNCAEIQYqx433rrrQG/vDtfW4e6sWOEHXB7GESnAMQMYmW3VrK40VXwX90PszwsAJJJy+CaA4DW1lY8/vgTIkjnMfDhpu5R+hBiK5WxM2NPGl8UoTM8j4L0yqpKGQAzyZv/SruUtIY5wbagXgCiQYGKOzQB3VKha8tYLoPWlmbJ1di2fRuOHj2CtrY2TJo0URy3jN6BA/WjR47i7X37ZV+06Q2Hi8WDnozAjJmzMHXadAEh/kCRhPPJAF488AsWthwUuGD1MiDKfigDYoUS5lOAM+JkJQDk1Cm5RjKAd7tx4uQJPPLYo8JeRSNRYT+kVcrjwdgxdZg7dy7Gjx2HWgrrXZxt1GMSIwETrphSUT1v5nJu1IMYFoStbFZAoQYPWi1eDPZiy5fXq377qbRco/d+4BPYt/9gv0/izJkzxTbObFeOYQjs6Qb5FbBXexdXwAYgfW5JjhycrizGjDmFJct2oqa2Fem0C/Unq+Hx8L4AvPCHpejsDJ0TAHlz6zpJOPe4svD7PMLaVpdXoaejE2NqRwubK5NFDmr+PHkdoeju5DmQRagkhNbOHkk0j8WziESTXBkt7VHEqRfhPSzDIFQy7cqNxtJQAAAgAElEQVSgpDM5uJwES0w2VxdCYWzdnHxhNhUZZrZiZeAWy3eCGtrySga6TsY4HPjv99123t+S6TNnYtKUKaKb7HVh1HZbTqZxwoaTSUcOHUJXZ6fcdyXp3V7OqQKcdJwxcyamzZiB1199VdqpOdFpFj4neQ14LXhNThw7hp07diBG8wN7GdIKcCK00lOF26ruRLWvGk80PoYjsUMDAhAJSXA4Ue4pR9AVQpGrCEdihxHL6HXqzUzTQ5a0OIcTpe5SlHrK4HK40JJsRkeq/bT1+fugK4hpRTOwoHihvJN3DY/DIyYYL7dvxM7u7WKg03cf51ocG4AMsmIGgJgWLBNIePDgQQEHfZennvgZli1djKJgyGp7UqtWaxLffCKsHBDS38wAYQsWHU3UYURasOjSZInUCTr+8Ic/YN26F3H48CFEo3GEikJCn/N4mBGirVhAPJ6U93MwTSvelStXYvToUaJT8Ho5KCbgIPPBhwxF8ibvoyCMUI5Xwji0W4w0Px9fDqCjrRXHjh7B+vUv4u19+2SGjP3HFKSbAbP+y/35RBQvs/lenwjhqfmorq6VMEDjPqUNTgp4+MXqNeI9/ctkrHDFcctiZjTX0bIJZt8ytSqptOhOGhoapIa8qTJ4sDvSgzVr1mDzpk14/fXXpe2KGpZxY8di/LhxAj7KSkukzcDv84mVsuR5WMnxpgWPbVnGktdjsUpqI2wxShYIUQZErwvBB9uzJGuFuS2pNOZes0qYmcKF2+G1K2zvGqqE0EF+BezV3sUVsAHI6Rff5cqgorITt93xMiZMPInDh8Zg7QvXoKOjGB5PGhWVHWioZ4aHB5l0nwmVd/gcbXhlHQJeP9zOHIr8TpSVUCTugCOdQnlRGM1NHQIKODFCAKIiQOvOmcnKBEV5MIjmeAJZpwOJuAPReArJHNDU1i3Cdd7rCUAYOEjwkcmS/aWghPkhLnkW1dRUYd7c2SgKB+Ciuh0O0YwUh8tEyJlmuCwy4iIoTa/pNHoiERRlzx8QTJ8xA1cvXoxjR4/i6OHD8hwpLi0VPSNdFpmLxOciW39ffOEFzaOKx9/F38rzO3U+R5atWIGa2lps2rhRQJ1p25YJTI8HM2fNwoxZs6TWG198UdqOJffFXoa0Al6nF0tLl2NV5c2IZxL4VcPPBVRoLtvpC8dIZZ5y3FJ5G9pSrTIW2dTxMnrS/cejfCfXL3YX4+bK29CT7kEql8KOrm1oSp46bcMEMotLl2KsfxwOxw7hcPSQgBqCllur7kAym8SzzU+hMdGITK4/c3YuBbIByCCrVQhACq14GQ7I2f++y/3f+Qb+6MMfQCgUtgTK7nwwn47r1Skqv12rtYmAw4TgGQDCmztvDByMMpDw1Vdfxcsvv2xpQQKWbiQrDlMEIAqS+HDJgiJmhhHeddddGD9hAnx+H7w+BSHSIiS5FNRt6HCfbEjeFcv6jfHDEhte64sQ6ekSJ6zNmzfhwIH9aG9tE7DELSgj4JFAvpqaWtTVjcHYceMkK4SDc1oBF4XDEtZHDYi2N0mQhmXpqPaQptWocDbsdBG6lQEic3DahiVtYmkG/KWQTmYEgLD9i/Xjg6xm1CghdXbt2CG2xk8++aQknY8eVYvpU6didO0olBQXw+/zistVMBAUEKIMiOan5K8/H8LUnfBaWha88kXnzx6CQQ4SVKBu2rNoNyxuWU6nOMzUNzbhutX39vv8EJTNmDFD3ldowWuHEA7yC2uvdlErYAOQ08vp9ydwy22bMW3mEezbPRFrX1iMeJzMpngb6p1TWASy5fTHHdyy5sWX4HXy3ulBLhVBOBSEx+eBI5NAdWkJWlo64PZqW6iYGXKiRgCCdf/LAKFcDnEPEEnn0BWjK2ISOYrFO3pE86EAhM5WzLXiZJc1r+R0qCg9BzAovW50FcrLS9AViVgssFM0h+PGjkF3dzsmT50Kj7cIb2x7S+7ANPOYMbpicCc6wFq1o0bh2uuvx8H9+7F3zx5pm5Xzsp4FwaIizJo9GxOnTMFbO3Zg/759aklsL+dUAT5Dbr7tNjGDWb92rUweinskIIz71BkzMG/BAgEmW155RfSeBqCc047slc+5AlOLpmNF2XXCOJS6y/Bow8NoTDYMCEAICG4oXykMBsHAtNB0vNi6Ft3prgH3G3YXY3nZCmRyGRyI7Mfc4nl4tWMzTiUa8+uT/aj21uCGipXY2vkGjsWP5pkOgqNlpSswr3g+Xmj5A/ZG9sjfLmSxAcg5VG+gNHTSl5xh77v82Z/8d3zja19GOBSWPlrN3LAG+fmQPz6krFn7LO1t6elOupvgwbR5pSSgkAtvHBRRUw/y29/+Frt370ZPD/UXKoRmK5EBEvyd+T21BPfddx+mTpsmblj+gE/C/yREzwQbihWvQ5xVCEKMza+2jVkp6CL0TqsVb4Zp6DE0Njag6dQptDY3iZ6BIIR6EOaOkHEoL68UpqOislJE+dyH6FBoS2slhJvaafag6mTkoZN3u+LbTMaIskOSeq4KeflXW7DUpYUp6DyOTCqbByCsD2fQqmpq4A340dbSgjVr1+DnP/85qqsqMaauDmPr6hAuCkn6ORkNn8eLomCRMCRSXxoJWNeQwIMPSM7C8VqJeUBOwZcIzr3KmghwZF6IlYDOc5eRg7hg5bBm3cv4889/ud/nh6mdvG6F7VdnEuifw0fYXtWuwHlVwAYgvWUjqKgd1YIPfeT3OHyoDhvWLUJ7exiZTH+mw+djACsneAa3PPvcGnicbrn/OJFGUcCHqpoqRDtbUOIPorm9RyaQPHQx5IQI74OSMcV2DAfSiRz8mRQm1BVj56kudMb4TGG7mBut7RF6Xcn9PZml7buV5UGrXWpIXGqty5bTKZPGYtbMKaioKEMymZZJtpraSnEOnD5jMhKxCCoqanCysR0bN76OrmgckUgEd95wzeBOdIC1KioqcP1NN0mL1e5du8S63Sym1XXc+PG4ZulS7HnrLWHepWvAsofnurz/muc0nz+cxeexHzty5LyPa6A3cj8+vx8ETTwmPgcOHTyIlqYm+dmwBWpE40WkpwclpaWip+B7W5qbpbXJnCMnsXivVxOarGVpz8yVjPx+wsSJwt7v2LYNiQtkffgcuf0975Hn89rnn5d2Ni48zqnTp2Pm7Nno6e7Gju3b0Vhfb7V7G/t79D9Oy/iG72dbF4+f14/PzMqqKgEwnFBjSxcnHzs7OoTlonbUXCt2RRQXF8tzn58x0xKmJi4ezFu4ULQqDM/kYj4PrP+sOXPw3LPPXtTre6k2VuOrRZ2vTtiGWaE5eKzxYTT10YBwZORxerGw+GpMLpqCJxsfR61vFOYXL8TzLX9AV1qvZ/67w8kBpwczimZKS9Xvmn4D6kxWlF+PjW3r0ZjoHb8SgEwKTkbQVYR9PXsQz/YyjF6nD8vLrsXcsAKQ/ZG3hUW5kMUGIOdQvYGyQHhzO3r0aL+trF55HR564IcKQKzBvrTwFAyqpbHIShfngJaDetPalQcgFAWyDctiTPiF5YwFGRCyIbt377H0DdQp0N7VIYm0Eljo9kob1qhRowWAzLlqjtww+QCjMJ7tWKJRIHNi6UHY/6uLKr97Bc+W2JEOXXI8ml3CmyGzSro62lU0n0nn7Xi5Jb8/iKKiMELFxeKSpf7DlgUxe42tfWn2oCWA773X5W82AoQse+I8I2Klrp+eA0LbSIICtmCRAelGfX293MQ4qK+sqZEWsJ7uLmzZsgVPP/0UQqEilJeWoLS4BF6XG+lUAl63R5gPsiYBf0BuztKyZtkpG5cv6kD+f/a+Azyu6kz7napp6sWWbEtyl3vH3di4gA0YMD1AyCZkU/5kN/uHsJA/hGTDbhKSkGxIQnYhtBDAtBCqsbHB4IKL3ItkWVaXrC7NaHr7n/c790qybIxxCQTN5fFjLM3cuffMzDnfe97yhUJBkcERVxJ4SdKYZkrn60ozwl4pWExEo+SBLNVjT63GL37zx5M+PzTz5+bmJnqAfILvZ+KhF24EEgCkZ2ztjgAWL9mOgsJ6vPXmPFRV5sIoPjVpnqQZz1k8UksfQiCQdMZvzBtvb+hONEyympFkMiAl1QZrNAiH2Yb6Nq/IZ60mg4AUi8kIq8MOMxOz7A6YYUHV0SMYnmpBhT8CdziCrnAcdlOSSLBEamU2IhSh7JcbJ5LlK9enouKjSEt14gs3rcK4ouECcJjU50pOQbLLhUDAB5vdLHHkVrMN5ZX1qKw6jkA4grr6OuRnp5/xvfZ9YFp6OhYuXixFJhlqhojoxaY0frXZMHnaNAweMgTr1qyRwpk/z83LEzbe7/d3n1IYb5cLc+bPFzkXTdQEA4MHD5ZIeBbB+q6+8iYmi5yLr8nHsXAmY8+5XJgYg0GKcl4X1wCCtMJhwzBi1ChZI7gOuN1uHD5wQMCFYpLi8nsW1jz38BEjZAORhffAvDy0trRgT3Gxtm5GMXTYMJE8dbS3n+CB4X1TmkZ24sPNmwXo8bpycnLkPJSn8TG8n9LDh+XP6Q6uRZevXCkPWbtmjWwkEhTlFxZiyrRpUk9QdsUxOpU5nffUePy4JEz2Pnh98xculPpk+9atYnTndR8rK8PwUaOk1iEY4c9Zb/AxnFcINjjm02bMEKN7RXl59+vycZRvXzRrFnZs23aCEZ7vMd9fjv/bb34+GmAaYYTNZMdFaTMxzjUBLx1ffRIAMRssGOYYhgnJk7DXsweVvgoU2AswPW0m1jS9js4+AISgIi9pEGakzcRR7xGUeEvEN3JJ5hK827oeDcH6E95HfQNYapyeCg0uczJuzL0Z/lhAXqc90n7O5vgEAPkE0+Wpong5GZSWlp50lkF5A7Fz0zqRYFH2pHpucAe9p4eFNHrSAIh4QFjcx2LdBnclwYqIvlZ2qDTDMye72tpaieZdu3atfOFpaGaRzBfg703cRbNYBRxkZmbhyitXYvqMGRg1ehTMFiZeGZUfQQpjq5izaW4kAyH+BE0WpZgIXZ7F6yUAiUjkLSdYTly89lCQCSlqIXM42FTQKJM5KXvm1NscDjGhd0f08r71RLBeNLuoqLQuv6pXSg8jQgCimhH2JHWJcT+qWBmRQ2kyMf5NANKpeUDoRUlNTUP2wAGwO53SH+Ro2REUF++U5/GuzbIFGEU0FJL+JjSDOp2u7nhhSbCixE1LjDEZqIsOiQxAB4jdCWOyQ5YkC4NiT1TEsHwGjEaN4Yrgnvt+jtfeXHfS5ydfk6wlErA+wRc08dALNgIJANIztPkFDbhq1bs4fGgYdm4bB4s1gnETjiI3twUWaxgtzenYv3ckjjdkyZM+iQTr7fWbZLaV+dxixKQxI5GT48TAtGQUf1iMsuNeiQW3Wc3iD1Fx30aYKNNig1OzDXaDGXWH9mDClInYW1mOqMGGrnYvGtvc4v0wW03CvtKDZtDmPEpmR4wYjtq6Ktx2y42YddEUpKc4xWwejEQR8AdlLg4G/VLwRWM02pvR5fXjeFOL9BvhXNtUW3vWn8GU1FQsWrxYFAUEDCyouabxD6WzZPA5h3J3/UhJicy5ZCFmzJyJfbt3nyCF5uNY6NLrwMfyD//Nc3D3nfIiHnw+5cF5gwdjx9atMp8PKSgQxp5zL8HD3t27BVxws41rK3fx6VchK0GpGAEO10yem7I0Fu8EElyTJk+dKudmkU3GhmoBrukZGRmyc0/gdLSsTM69YNEiAV8swHvLjgmkZs+dK+vrrp07BcCQaSBTwZ+xaNcBTl1tLbZu2nTa94AbcAQgfI4U7vG4jM2iJUvk3B9u2dItuzpR/qxOu2z5cjGlk5HoffD9I4DkNRRv3y7jSraKY9fY0IDKiopugMd757kJwFijsBcYAQiZLY6BDnz4HgwdPlxM87wujp9+8D1efOmlMs7r164968/dZ+2JNIDPTp+LMa5xeLHhRAZEN4hfmrVCgMMudzGC0QCGOoZhVvpcvNH0N3SEO3rGyGCE3WhXvo9oF7a2b4Y/5hOZFX+2vnUt6gMnvo99x4P1H+VbM9NmYVzyBGxqex973LtEypUwoavRuuCNCPkiH5WEdeDAgVNqJD/c+CbGjhmjTNZSvPYCIFqlrSRYNAKStu2RXunggxMXi2mdmtVBEG+Y3obDhw+DSVxHjhwRCRQ1vZIkZVSNCrkrlJKSKklYc+bOxew5c1R/CiNEikSQQvO6yIJY7IuJnakHmvJKpE78hwiiNEN8RHU71z6pct3i/9BjdNV9coHT+gWKBEB1Xe/R9KrseSVd0ie6nhhexb50G69l/NnxXHvsCR4R5fvgOcgxif8jzB4qUWncWFNTi6QkmwCxrIFsekgTZVAmOi4gzU3HZTfNzoQqggQCKwF7RrgowXLYZaEiiOH7SJJISBpZxNV7plPJPSBDUce69Io7Vr1/xx0yFhmXXXUb6htONIHx1IkErM/astC/r4c7t9xs6S9H0ahRKBo58pS3O3vuXsxbsBuvv7oADkcAEyaWwWxhLDu/43EkJ3slEWvr5kk4UlIIn892xsMWDvlgMRlQd7wBkYAfX7zlRsRiblijfjzxp9U40syNrDhSXU7xh1BGI15Ck1Hidb2BMNJTM9BaWwdb1I8Fyy7G8JFj8ehTz+NAyVHE4hHcfPN1qKuvR5fbK3O7p8uN3LwBGDasEC6nHRPGj0VmWqqkahGo0Dei1igG9HLeVz44vm6QjV/FFxdDIBjC1vdOX/yebiAoUVq8bJmAALIABFdkJqS/lCZpPXrkCA4dPNi9+87fzZg9G7t37pSiuXdxShZj5pw5AljoK8nIzJRUJwIGFrJ8vfETJ8qcTuaCYIDjyYMbSWQEcjSjth7jzt9RRsVimT4UyqF1poZF/PSLLpKCeteOHVKUzJo7V7yXe3btwrGjRwXAcNB5/hEjR8q5yGqQbbhk6VJUHDsmErTehT8j6ufMmydrOSVYlBKzsKd8i/dNFQb9irPnz5fNMBr0T3eQMeE4c7zefecdMaPT88HxIUjav3evJF59lOmc8i0Ch4b6E3fOef8LL7lE7oH3S5DEcaqpru4GGrwu1ie8BoJDAhUCQrJajAUm2OudyiWyrjFjUFhYiK2bNwtrpB88z7IVK0Te9v67757xd+yz/kACkLnp81HkGosXGp49gQGhdIpMRr6tAGtb1qA1rMaDsb3z0i/G3xpfQnu4vRsYMLWKcb6UTb3Z9BoaQ8rvQckWk7bWtaxBrb/mI4EEAQ9fc2babExJnSam9Q87tsDzEUb3Tzq2CQbkE4xYXyO6HsXLbuhE+X2PX/3sR7jjn26V4lWPYu1mAPToWK2g5sKgez84AQt7oKVfEYDov9OvgcUsJziyH2zyRzbk+PFGuQ6h1WWZUI8hNVpUNBYXL7wYK1ZcDqOZAMQgOzmWpCQBIN0N/cSrQqCgDPIEB4qJUHenS8Y0tYEqvIV5YHa8Agw9qFgxFcrLoYp24VMEACkWgItbN7jSI8Li9Eewe69J9VHRO8lrPVNUb8ReJnU2z9IN8DRYMiKXnc/DUbS1tePo0WMiuxo4MBc5ebngTg2vt621RaKEj5SWoK6mRnYVrWYTLNIdXgEsmtC5yNl0sGaxiN5aHwvdNa+DEOWGVwOm+ze4qEmndDJMRH5G5f+orKrFimu+eNLnhpPu2LFjT0gTSyRgfYIvauKh530EuKPbnwy/pwMgV6x8H0OH12Lv7tEYPaYSdTU5KC0phMfjkK9/9oB2TJ12CMkpPrz614WoqR54xu/H3BljxGfn6fLABDMmTShCJNaFjsY6PPboC9hXHZSdx8zMVKQkJyPG6HJ66qxJCEWj8AVCSM1IR9QfRVdzA1KcJnz3X7+D/37sL9i29xAMhgh+/9Cv0OV2w+8PihQ3EgvD6bTDJJG7MaQxKt3M9K4YQhEmXem+O8IPzm/KZ8HNKppQuVnFuZ8F8oEPt5/xvfZ9IAvYS1eskJ5QLIC5KcRzch0ie855mz/njv/B/ftFGsWfTZwyReJke0uCyDhTxjp1xgwpqAk6yGpw55078ZRTjeMuPCDsCNdR9kDhmkg2gnM1C2g9KUr1fVLaYBbOlAxtXL/+hBhgzvEEGwQ1ZCEoUyIjwHWA8iFen17Uc/3iuXmuze+/L4BImAX6Lpja2MsnSqBEqRF7b9F4z2J9wqRJAqzIGDBBkWsUWRKuNW++9tpp3wMyE/MuvljORzDHwp/MB6+TRv+d27d3ez9OdaIrrrrqJDDAxxHwkcUhe8Vro2+DsjOej+uszmrw3rnGETzwfSGooqxLjwUmyNDlcbyfKdOni3yaAIRATT6C2jkuu+IKYVfIjnxeDpfJhQWZizDCMRLPNzxzAgApco3BJZlLsab5DekPoqJ4TZJYRdbkjaZX0RxqRiim5ItkRhZnLsP7be+hIUimwyDxu9nWbCzKXIz3Wt9Flb9Ckq36shkMuEg2JWNuxgK5lsNdB8UzEoqzKfP5SURLAJBP+KnVi+XeDQmpKSUb0fe4YvlSPPWn38HucKrYW2lGqAp7vXDtBjVa80HlKVAAhLMj32hpDkWZkW5OY8MozfzM57M/CH0OBw4cFDlYZWWVFN/csee5OLFkZmZLFO+NN90Em80Kk8UsRbWV4MiapACIRO4qmZDqkK6aIuo+EL0dSJyNqqQCJ8tBhkYxE92SKTFra4ZtLZlK95TowEakUspC2T3Z8nXZt4OTjMfjloU1d+BAkUFxAWJndT1xSvwpmoRNGjdqmlteFw3owoBEYmg83oR9+/bLOWgWzCvIF7qZ5+IYU/+6Z3cxykjpR8NgoAwXX7PW/4NGdE6CNgd34VT/EonFlAQa6rxVBDKXZmFyRIZGIKaZ7bV4XvGCWCzKQyIyPOAvq1/Bfz7w0EmfG8YVc8cnYUD/hF/OxMMv2AgkAEjP0NJ8npHZKezHnl1F2LZ1ghjNKTXlYTIzfbAJ197wDt5/bxq2fzj+jN+Xm65ZDE6fni4vSwWkp6cgGPGjurwMr/91A7YfakA4zpjfdNjICshGB9O3uFbEpbcHAUVSkhMdLW0whzpx88rl2HmsDu9t3wuzOY7HH/09IkEffGwsSPlA0A+m88WiLAwt4onj5hUBSDQeQzDM+VR1TA+GCYAU0x2NAB6fD2HKXeNx+Hxe+Gsrzvhe+z6Q/sSLFy+WgpJeC4INvRDnGsS5lz4JFqv8PDKhiQBk2PDhUuRyJ1w/CCBYaI+fNAl7d+2SXXjuutNDUlleLuwG74HPIzDQi2MCEN0TQbYkb9AgbNm06YRroeyHPg9eY9/+GdwwW3LZZcJisLBm2hTBDf+/N4vC6yQgYuoX2QSyAJdefrkAKQKD3gCE5nyyG2QceB/0fpCxIHCiUZzrGNco+i14vS88++xp3wPe+7wFC+Qx3FSoqqzE0dJSYUB4Dh7r3npLfneq9CvKtza9/343GNBfjF4cAiWOC30oM2fPRlZOjiRt6YZz/bFcC3nvBJjbtmwRkEHASCDB9V8HagRWfBz/zcfpLCw/D5QCLl2+XDEuxcVn/bn7rD0x2ZyMhRmLBTz0BSCrBl4v7MUBz37YTTYkGW3SnyPFnIpcWx7KvWVoDDWixl+Fct9RXJq9HEzW2ufeC5sxCUkm9XinyYUh9nxU+ytFylXrr0WpV3mH9H4hA6wDMD11Bgbb87HHvRsHPftExtUbfPCx5yLDSgCQT/jp62tE58TFL2pJSclJZ0pJdqHs4Ha4nE7VgE5LwtInl96MCot6SpnEhB4OI8yOtVqBHQ4HT5T4MO1ES9rgF1G/Bnb2phRr9+49ON7QiI7OTu3DpAzqs2fPxg033ICcAdnSFZ0TOgt7q82uvAl6gKT0slAsABc1rTWH3rxdYzKUeVFJxBQAiUbU9ctztAKccZGUM/nZPTzM2FqeU0v6EJmYASHeLwFVLCY7QdwB4gJD5oYRwjRjp6dndIM2JWVTVbxKn+Lrk4VhGpYCbBw/SpwaGhrFrJ+ekYlRo4u6GRDdV8N7pH649NBB+LrcMMRi4v2QnH2aDZkwZqXBk2wR43SVXI3yNumQrvVgEQDX7e/pYWgkhlczoosPiJ4ZuV4DvvXde/HuxpN3bmiU5CLTF4D0BAJ8wg9t4uGJETjHEaDMoz/1XDgdA3LTLW8hN68FDfVZEr/b1Hhy9Gx2djtWXf8OSkqGYuOG6Wc8+rdct0SWdMprkux2GC1WxRKHYvjDQ4/hw93lsruZnpYMJ3frwxHYnXa4LFZECT4oH7WZ0drRCTNsQFcH/vWbX8Hrb6/DhuKDsFgM+MufH0GXp0M2p0wWq2wniTyWS4A0M4Q0HJSgDG7UsM25MNgqbjzETSdFQ8Pj6QIRUygal0RGb9WRM77Xvg8ke0DJEtOk9u/Zc9LnjfMfd+hplKZPg/M2C9i8vDzljegVyct5d8z48SJz2l1cLDvtLJB5fj1ZiQU9C35+rvWCl4U8x57PZyIUr4lFcW/2gkwFi3+Cgb4FOp9HAEIQw8J7+RVXqM3BvXtlfevOmQdEAsbrIVhhwU5GgMZsFuC9AQhBBR9H5kf8JvG4FPpce3YVFwvTwrVi/IQJ4pd49s9/PiMAwmtlJ3SyLgQIZCUI0DhmBCWUd1FO1tcHctnllwtr07f/Gf0vlKARgJChIstCCd36detOAl96shUTJj/YuFGkcmQ5Nn/wwQlghesuz8P3mWCR4ypFMgGIyyUAjywQWZfPy0G/xeLMpSiwF0ofkN4pWFcPuBYEKJRAeaNdCMZCCMdDAkomJE8UOZUn6hFfBxsGLpeGhgPgjrjhjXrFL0IGg/1DpqZMlx4gjPHla7zXul6GkAxJpiUTl2QtFfM6k7UIZnzRkyW43Khg7Xq2RwKAfMKR+ygfCL0Yp+rK+vZrz2HmRdMlUUnvBaGfQwcYyj/ArrSaHIm+Aunjof5EIj0N73pPBnye6oiueorwS0395BZpsFeMvXv3wZZkl8XF5/Nj/PgJuPzyyzF27BgUFOTLgkIjOnwI+AEAACAASURBVBka8ahIcazw7AmJXUx40RrZdEfjavHBjAgmC8CFy+f3SWfxgJ/RbXGhsyk/s1osaG5pFkBEoCH3a4DI0vgBdnvc0sTK6/PJpM5UMUrJsrOzpZM7fTRDC4cq2ZXk3/dowmQshUehFCwmzAZ3mkJBMklh1Ncfx+49e2RnaPLUaULvc2HndZOkYRRx6cEDOFpSgpam42JoT01O0ToMx0CpGWUKlHBJuhWTxigJI0AREKSiK5WHRnVF199XxShB0mk4uavO8wZpBsZfzV54lex09j36+j/0+N0EAPmEX9bEw8/bCLS0tPSrrtOnAyDX3bhOEq/WrZktnc7Z76PvMWBAK1bdsB5bNk0SqdaZHrdetwTGONDp7oTN6QAT8+ifQ8yMX/7yIRTvrUA4HoPT5YDLZhO2NzMjA14mJwljAbA/cYzNZs02pCSZcc01y/HOu5uwffchMbY/+/SfEIsEpIkgjeRhaYgaBS2lBB3i+1AIAxHKf+n9IMPMzSMJOYnK67AzOs9B/wep45bmJoQaT06EPNN7pwSH4ILFfd8YXv0cXOMIDKZOn46yI0eEieDcXrxjhxSuenHKtZam6tT0dOzesUOM3mREWMgTcPD8ZMS54UVfiR6Hy+dxE41zNdkWkQVt3y7eAx1sECgIAKmqOgmAcK6mDIlr6Ya1a3HlNdcIo0GAxOL5BG9HcrL4VxgJT88EC/ttW7eekILF9Y6Gd94vAQglWFQ8UL5FhoHXSnkTN/0ozSKA+jgAwsexqOfYbdq4Ue5dvy6awTlGBAM0mhM48TV6Xzc9IHyeLnnT5dAXzZ4tkiuOLUHfwiVL5Dz0Z/ROHeN7pDc7pGyLPhQCEK7Nm95774Tr0QEIPWj0h+gRxDoAWbJsmVwnPT6flyPVnIolWZcKQ/FcPQFIYzfrQD+GSgRVdY/OPgx1DMdl2SvwyvGX0RhqEJkmZVVkSExsYcD/eqVaMe6XYIYpWEd9R7ofT0YjzZIm/hCClNcaXxHfSCSuGmT3PRIMiBqRv4sJnS/Um7XQI3P5N4tmUq19j3//7rdw13e/rUW5Wrq9Cz3mc93AzAJa5bHzbz0NS9KxNJChXl/X46rClwuQpKCw+Z/FIkZ07rhs374DmzZtRmenB12eLvl5fn4Bpk2bhgXz52HSpIkCNDgRsCGgFNc0WGspUyIzUrO5eDZk/yuqUrBY5EvDRG1RIlXe3tYOr7dLAIiK4412x/jydbr4O7/6HRkPLlwmyrxIA/v9omMl6OICYKNhPCtL4vcGDx6E7Kws6aJOsKA34lMS2V7kny71ijEaOCQgyO32oLauXvqlDB6SjynTpsuuE8EEwYqoxIxGNNTWoLaqAuVHSuDr6kKyw6E1+lIAQ2W+s4FjksiwCEBEptbNDjGHX73zfUGSnlymwCfBC5t9xVC8ez9u/+f/e9LnhQsIAUjvbvIJ/8fnZWn5x72PBADpee+WX7EJOTltWP3MZdLpvDcAITBxOv2YNWcfBuc34u035wpTcqbHikXTJFrXbkuC2+tGakYmYDRLpO/hQ2V48Df/i3ZfABarDdlpaYiHgkA0ChM3Qtjhw2JFMB5HWOS+JhQOysbPfno/vvu9H2DPwVIkWQx48rH/RTzGOTom8blsiEomJRxTng+mXhGAyEaJTLMEHwZEwxEprPUNLxa9nKf0wpzMdbj17FOwKCsiuGChSVZADNu9Ds6lnL+ZekVpDxkQ7sITJDDBikUqD87XmdnZ4qkQlmDnTtkl5/MoP+LuPM9PyRclWjSMk0XQjfW8P865jLhl4c/XYfGvy7S4607gcmD//hMkWHxtjg+N2Hz+O2+/jauvu07OS6M5gUhvxoQFN+NlabgngKK0iUCEr6VLjckQ0HDOHhocX8rJCEDI8lN+xjFjHLCe0EWA9nEAhOCF3hRu9tGr0htc8PlkihinyzWZ0iayLr3fi6uuvVYYEAIYuWejUcDDxZdcIut0aUmJ3O+SSy+V94HnYLJX7w1aHYAQ8DDBigDE5XIJG9JbqnYCANm1qxso6gCEZnqCnfPd5+VMv68X4nEEAMuylmOwbQieb3gW9cG6nlTSj5A8DXOMwIqcK/BSw/PS16N3fO6pJFJkTCjnWt+yFke8pd2PtxntGJs8DosyFmN96zqUdB0ScMKZgNsPvUGM1DsJCdbfF4Dw1fTEo55mgRGZFNgVve8xaeI4rHvjRTgkyYM76CoJSuRDAiYUAJHdJdkZ15AqFxFKicJKitUDfFTUrEh+CECiXBRULjkXHD6Osqji4l14972NqKyoko7pbCbFyYHynisvvxzz5s2Bmb1CGHNosyuJmDQHVH06dCO1KqhVdR0Js/kgWY4uMfGxyCe65v9zciQFzt2U3sCMjAf/yMeXixr/rQEQvbAOhsnwMHnEKrs4w4cNw+jRo4UB4ZgYTaqxIRc7MblrLI2eiKUWSdUFnWMS8Pnh7fKhubkFtbV1OHq0HIMLCjBl6nTJdnelJGtgQVKH4e3sQHNjA/bt2Y225mZYKbvi6/G90vTOZEHY2Z3gxUDpmJjtexnve5kGJclLu1b+vxg2yVAxJtlgkC7Ev/rtI3jqLy+e9Hnh9Q0ZMiTh/7gQM3vinGc9AmwO1rcgPOuT/QM88XQMyIyZBzB3/m48/ywL0QxJvDIaY7BYonC5vJg9by8Kh9bjwy0TcWDfSOmQfqbHwllF0kw1JdUlTISN7HQSI8ydsJiseOap5/Dk6r/CYnPJRok5GobVAIkQD0qbQTNiJivCBkbMmnH/fXcjLycH/37Pf2DvkTJhQP7wh9+qhrIAghGuLQaZt8Mxbo7EESQjIptN9H1EVDB7PCr+OM6vZD+k0NfYAjLggUAQFWVHkWNXHbXP5pg1Z45E1lLrrwMCfY3g3yxGKaviLjuLdPoquCZMnzlTpEuM1uU8y2KYwIFeP94DC22CDHoJ2GuEBXFjY6PM7zSlE4iQeejtveDr6eZvsg4soPXPPwEBi3gWziz8dfkWn8MNJD2ZiQDkqlWr5HoOHjhwEpvAa6FxnPdKkLRi5Up5HcqJuMbpEbRjxo6V9V48K9u2CRvD94tGeN4nQRVBEp9TNG4cVj/99GmHn0U/2SGOIZmM3gBEvDZmszRwpNGd9yzd0tvaupmQa66/XgCTXvRzTaShf3B+vgAs1gNkNZjqxfWcr0MTPkMF9NfivdH3IRKttWslLYvjzevRax7eBN9zys2oiOA96kwVr5OvSwBCUEYPzefl0AEIGZAXGlajNlD9saZvNg+8NHuFABCa0z/Ol0EActWAVXinZS2O+Y52P54/53n8UZ8AEP6dbc0BDemUalHK1ZcJ+bjXOt37kpBgncWntrd0Si+2hdbVJo6+p/xg/WuYPHG89Jagt0A612r5tNK/Qo85FGZBkyhpxXpP+pWiv6TvhSROcYdLi6aVVKY4/L6AaHLb2lpRUnoE+/YfQFVVDVpbWmGUviAWmSCvufpqLLnkEqSkJMPhYmd0h+qK3rtXhQZEenoCqgWprrYGhw8dwtGjR9FQ3wAL5QG81jA7oKvO370Bk/w/tbsOBxxOh8iyJFXKYRcTGZkFMiJmi1WaNmZkZqmu6U6nMDqyK0U/ial3U0SNmTEYBGzJrpLWGJH/9nZ54e7olHjburp61NTWITdvMMZNmCiaXu7KEPiJkdxkRCToh6ejDYcPHkBDXS28bjfMBiOsFjZ21F+LjbDsokFm93guvhZrz5j1lsLp8rXe0ildIkfDZjAYxrKrbkVbW09et/6ZYfdzAsWE/+MsvpiJp1ywEWDBdipD6gV7wU/5xKcDIHmDmrHiyvfR3JSBD96bivZ2NlkNYuToKjCil+b04h1jJYaXPUBOJdH6qNtbtmCCGG3ZJ6KxqQnO5HRkDchFDBakJSfD396BH/zkFyg5ViONCF30mBmUbEptbJkAiwNBIzB58jjc9W9fRzQUwF13/whlVUxXiuC///tB+AN+YT/8EW5ike2IIxQxwB8KIyJWBa5RFFyp+MJYLCzSV8a9Uk6q1h5uwSgJcDxqwO4d21CYYT7rd46GYu6C65IdrlUsMrl2sIinx4ARtAx94Q686kEVlZ13+g6YZKinV7FHBovkQYMHy/WxNwdZBBrWyTLokb30EbCI5/P4eMqKeE7O3Vyr5s6fL8BG0qa0xogs4Mmm6JIo+iR48PEER0yVokRLWI2rrhLQw6KaUb86kOH5ddM2i3N6QHgfXGPJSuhA6uJFi+T1yfSQHSIA4WYf6wQCDxbuBCT0qbDYp4Rt9V/+8rEAhOCADAaL/94ARC13BqkTyA6NZVf0ri4BEBxfXh8lWOziTqkV74OgkfKr0kOHRHLN9XvN668Li0JPCk3yBAiUc3EMxctD8HDppQK++H4zMYufeXpAWEvo10FTP89N8MLXI4uiS774O8q8Pm8AJIUekKxlEq370vEXUOWvlDCg0x00rC/IWIRXG/+K9nBPHPVHPYcSLMqsNrSuQ42/Z+N8aup0XJyxSFgRbi7n2wrFuM6pJRQLoyPSLsZ1elDYGd0TceOAZ99Zf+cTAOQshk4vsHs8GqqDeXl5+UnGLJ7+m1/7J/znj78P0qncye9u+C1Fs+ooTtmV8nuERYergxw9bUukT/GYmKvpX5BmgRJjq1KzgoGgmADb2tvlS13X0IC6+gY0NbWIDIu6QWFsIhFcvnw5Fl9yCQqHFsqXXmRFAh6Y3ER/g9azpFfXdqJeTqJVVZXYv2+/SM7oNxFamoCIpjCHQ4xhXKCY+iWARkCNSRo6ccfG4XLK5MPeGvSAEJCRASE7kJKSJo9jnw7d2K6/PdJlWA4tz1c0jXoaWIS5tjJ2nOw4WXGBqaltEBDS3NKCrJyBGD58FMZPnIRB+UMUAJFdJQ5kBH6vB8eOHkFNZaVIsujvSGJqlTRCVM2CJQ3L7hC2iHIsm52pWGqs9HQ0To56vw+OiW6Y5xhwfEORCDa8vxXfuevHJ33yOF7jxo1TpnXxmyiAo0+4Z/FRTTwlMQLnZQQSAKRnGG22IEaNrsLcBbuFASEQyczqQM6ANni9dmlCeLQsHz6vrRt8jJ9YhtFFVfK7I6UFH/meXLpgnPgxMrOz0Hi8BSlpmWht68DgwuEgIWuNxfDnZ17Gm+s2ShyuDUaw5I/FIogzmSpmQtBghtXlQGH+YPznvXci5HfjgQd+g6OVx4U9/4/7fyx+j65QBN5gBD7OmV1+BGOcx4BgMIJgiOtQTEI5VBiJ2jTT5yP+jHOn3ZEEi8XE/q3YsfkDTCpMOevPm16sS6Ebj4tvUtYSq0oi5PrFXXf6OShbIijhxh+Nz1wLaV4nOGDRy0KfzAVBBwtzNtyjuTp30CApWFlU68wFGRBG+XLdYJHM3+kxr5Q4ceWhUVs3QHNuzh4wAGQm+DMGNHBsyLgQVDCNS/dy0ITONZdrCCVTlIl1tLXJBhMlXly7CTi4XhFgjJswQRgarsdkIChvJmDi+SmbIuvDfiJ8H7j7z7+FvWlrE3B1JgCE10mWhr6MtW+9paTUfQ4BQMnJGDF6tLAhHG+a0mncZ3NFeje4Ecm1nCwSJWmUtvEeCeheffllYS4IAAnU+L4QWLBm4LmZSMb3lHI7+jdofmfaF5PN5HPGDT6tj5b+3vBxfM+4gUlQx99Tfkb26/PCgKjoWwKQpRjtLJJeH8d85WIAD2rRuqf6ghXah2JW+hy81fQGOiMnb2z2fQ4bEfI1Nra9e0IjQrIiY1xj4Yv6YDFSXirxSMJ6mAxm+Rm7tetyrEp/hcjEzvZIAJCzGLnePpDecbwfJcMalJeLPdvfhUM6olNKpCVMSQO/nghZ5elQCSP6DhOTM6iJFKYlFoGvyyuTUjAYgp9yKE8X2jva0dHeAV8ggE63W3aIaG4mLR4IhRGgJyIQgJ//DgYwd84czJ83H7NmzUJeXq4UxvprcmLUC2BuqameIhCpF/0djU2NqNX0sJw8Kc3ghMvY24z0dJmY0tJSkZziUl3AzSo5ym53yg4R4x55c0T0fB59I/6QSh0hI8LO8WQZVOd3dmu3KLlaJKIKe5GeqTGjJEw3SBLIsfeH3+eVyZjXVV1bh8amFri7fEhNzUDeoHzMnjsPI0cVge5yaWwoTEgMoaAP9bXVqDqmFi4jF0Aax9kThc0No5wU6bOxCmuTZLcJo2MVVkvl4uvSMFL7euMsHZBI93PRV4fx/378C7yxZsNJnzyCwYKCglOyHwkD+ll8URNPOW8jwMJBL9jO20k/wyc6HQNiMkWF8SgaW4GZs/cjOcWL+rps7N8zCtXVA+HudIksiw0DFXtgxOQppZgy7TA2fTAFZacBINcsnYZ2dxfSs7MRoi8jFJcNopzcgWhua0VWejqOldXg3h//F2IGCwzBOMwi8YzS0IcojIhZ7bCkpmBgTg6+dvuNSHdY8P9+cB/qG9skfv3++++n4hf+aBy+YBzBWEwAhz8UE6ku0wMj7P9Bv57m52NynwASGCXenIw6oQkfx80hkyGC/Tu24tLZp27eeCZvNT0QLFR1SS13ywkKmIhIeRSZAK4Zehobi13+m80CGZlLdoZrBKXQBCAEB4yWZRHMIp4MCn2FLHrpO1SR6arpIIty9gxhc0E2qJVAEaNR/CU8B4tvPWVLlynx5wQ4NMFzzeTBQpyvpZuuL1m2TGRaBDbs5k6ww6KddQPviRGy+mO57k2YOFFej/dB2RHlWCz++ZpkVsh+sKDnvZMdYSNdAi8y/7wWApi/vfTSaYebm4Q0vHPs1r399kk+Fj5Z3/TifRGA8A+lbFs++ECKf/Y64YYix46xyVwzCdwIKkaPHSuSNwIRppXxOQQNg4YMkQ1G8YR6PAImdTaHbAs7yxOI6eBPglvoS9Vk5boHh9enszbcFCXw4Vh+Hg6r0Srej+XZV2BA0gDp6dEaasWOzg9R5v3ohDkmZrFZ4NvNb6IzorxQpzsoq7okc4nWH6SnoeTtg7+CDEsGDnr2ozpQjdZQC9yRTvGBMJ0r356PAdZcJJmSJFGr1FsiDM3ZHgkAcpYj15uh0L0g/DKwK3pfSpMv8dKzj2PxorlK1qP1kJA+EloxLekjmgRLfz6j50jHd3R2yGTBCZDggxMrFwa/z695MfwIhEJyJ+xGywmbYIMLWCAYlvg/+itYMHPSyMhIxyAa7KZOlYI3NTWlu7hnMc1JRdHslFOpAeK18Xr4h5M301l43o72NplA3Z0d0leEzbF4vuRkFxzUL9N4rcU8klnh8xjtGAwGlGnd7xNwQ+qW0iNS7gQu+iRIBkX1H9GYD4mwVUCtJ243jEiIxnMfvF0eAWAsmKpr63G8qRntHW6kZWQhP38Yli67DBMmTlKNFhWPxL6+CAa9qK+uRGX5UclE52/ZA4Q7EpKLDdXDRehjl94dXTEgvVkK3XQuoQCaXEEihploFouh09OFSy6/WRK6+h7Dhg2T1JDe8qtuAHOWn9PE0xIjcD5GgMEW/ek4HQC5kOPwhSvmivnbkZICr9eHtvZO8e0Jm2w1y266p8OPf7vzPnR4QzBFDbAxEjwekeh0k80BL4wIGs0YOboIWSk2TJ44GsebGmExO+GwWmFLsogM1ROMotMfRijGDSjOywQgIdnYoSxL+opom19c2wyycaYktuEQ58ygMr6TOY8Du7duwKolky/k8JzTuSkN4gYZTdWU/aoeKmrDjYUu5V0solkEi5SYTSVzciQ9S+9L8kkvgDIkHjRKcywpmyN7TjDHdby3x/NMzy3+B7td7oXhEHoyFEEUwdih/ftPeyreGwEb3z8CtVNJsMTDqEX8c4zINJCJIkA702PcxInCOtGQroMobkLy4DVzPPSNuzM95+f9cWaDBYNsgzAtdYYwDv6oF/XBelT6KtAWPhFksTZRbARA2RZBCKVTwVhA9STrE4/b+/EOkx00rlNORV+HznRMTpkqfULoOwnEggjHKclks1FlQzfCJNIsbszy+vg79gY52yMBQM5y5HqzIGeShnXrzdfh1w/8h9DVRu4YGY3in+AOPncvlDlbGbS5u8+Ctb2jQ8ztjU3HZVJ0d7oRCgS7GRHuBBGYSNFrNiMpyaalSgVkR4sAxOvzi2k6Ny8X+QWFGDpsKFpammUCGDFiBAoLC5A3KE+a73HC0Xd3ZDeJMVF0aRu4i8fFKCgJUAJOzCbVxMrLCbsVDQ0NwmqYzUbxb7icLmn+RxDDlBV9V40fYvYEYSoWO5Yz5YssB+l09r7g5KybzXkt0lJE67Aei6gELjIglFtRjsYxCPoDMpn7ujxwuzsEfNTXN6CxpQUNjc2oP96EzKwcjBhRhJVXXYNp02cgLhFYqhUiEEEw0IXaymOoKC9D+ZEjknDF0ABDnJ1DafLX6MhYTEzsiv1QC5fu9dDBm85WcKeLYEp6oARDUjy8vmYD7vuvX5/0qeOY6ulXCfnVWX4pE0+7YCOQACAXbGhPOLHBU41wlDGwZikyuTZwLuZuPecFh8uOmMmBF9dsRzgcRyjop2YKjrjq5RF3OeEOx2Ax2+FMS0dOTjZmXTRZdjC5GZXtcmHL+nWoqqyANTkVecPGInfoCARC4uaQrRZuzjAVS5Q5DPaIhlUqFqP+mLhLoKMV7ly3yKpz/t298TXcfJVqcJc41Agw5Yprm97wsD+xiGScKCOjwb53J/TEZyMxAvoIJADIWX4W+sqwdBaE7ENFxcndYGlA37bxLRQUDBJzNftWREJh2XHp6nLD5/ULwyF/yDT4fHB7PGKKk2Jd2y3gcwhQ9PhDnRZWPgSV486dLDaSot+g0+2BKyUVFy9cKAkiNK61tzajy+0WuZOd3dC5K2azwWZN6k5/4gKjPAjKiE1ELbtg0pGWcb0Gtaj5/QKOWKD4/F4BBjwni2+CEJORJnWD7Pj7Ayoat9Pjlt4ffAx3/KnRzcrOEs2pNOsTg71uslc9SLpNj2yMFQgI8OBrc5woDfN7vejsbEdba4sAEHphMnNy4O7y4sPtxUhNy8CYMROw4vIrpB+ISgxjalZE5AvhkA8NdTUoP1KKA/v2ChiThoTScNAkf3gQrhCYkKlJy0iXceM1C3CMxbqlV3qKCeVnNNETfFASd9M/fRtl5SdTlkz84k7nqcznCfnVWX5JE087LyPAzzW/U/3p+LQYEEuoES5nsnQXp6+Pc4fL4RBPHedKMshNbV688MYH8PmZUBWDJRaDk2x6GLCkp6MtGEaSLRVmm0vY2mSHE06XHflDByLFYUXU50HVocNoqKlDp9uPNn8ICy5bgYDBKQl97PNBVlrFwqtNINlRJQkt8mAD4kbVNV1ktbJbHsc7Lz+BW1ct6k8fk4+9V0qiCoYOFZ8C18n+FOTApDD6QCgjY6+V/pSi97EfjMQDZAQSAOQcPginSsMircimhL31ivpLfPmLN+P+++4S8x7N0kxbos7T7e4UAznlTXw+ZVdMveC/JR5RYmqVFirOpk/xuGgt+TNpIqS9AHPdlWWD3cUjsvPu8wcwYGAurr3+BoyfOAHZuQPh9Xik3wXZCMqYpPMrGRmyKDR+aQZo3QuimAglEdMlQVyQyN7wuWyaxUSNjo52eLrcWuws89jp3zBI/xBF74fFt8IeIJRhUY9L0x6TqZQZnrKvE9Ou1Bgrzwdfj+Ma8geUHMznk3HqcntEekUmprmpEW3tbcIAMSEkEgfWvrMeDmcKRo8eh0sWL8G48aoHijK6R2E08LwBNB2vR1npYaHLaUJnp2FGFbMbOgGZdHvXxkAo8AE5AqI4TjoA0dkbeRekMaFZABu10m+sfRf//sOfnfITN2rUKEmA6c1+6BGU5/ARTTw1MQLnPAL8zNOE3p+OTwuApOE4kmx2BEMRiUXnxhNjyJOSyFAbkWSxIW6044U3N6G9K8xGRjCHo7DGgWgoAjid8EnktxNGiwOOlFSRpzLww2i2A2Efol3NMIa8cFiZ7GcDTBZ4QjEMHTsdbd4g/BEDomSIOedyw4u+j6hqympkWiKDSrSNIkn/43ZUNIA977+Jf7r50v70MfnYe6V0iUlSfZsZfuwTPwcPoE+FEjR6PehV4Wc5cSRGoPcIJADIOXweTmVGZyFaW1sr2sy+R1ZmBta88jSCfh86OlolDYOFtOzmBwKyu8SClv9PQCKAQ4vjDYWDynzHrudabwr+nguA3p+Su+00B5IzYOdz7v5Tt1k4dBiuue46ScmggVoOoRUUECIYoSmMBb2d6U62JGFDdA9Db1CgAxD6GQgIpKdHiNfml7SppqZGNDc3inSM6VuMBqYvxcjEFpsd6elpol3NGZCD/Px85ObmdncZ14t2voauDeXfkvIlBnM2MgzKzhwlTWRAyDjRgE8PigIgTQhFQvJaSy+9FDa7E+vfew9mi008IExMGTpsOCJh0RdIvC8z/AlAWpsacLSsRAyHHGd7kg1Ws1UAGSVqIjfge0AWJCkJ6ZkZcu0EDScADzpGJI5YMTdcrGlA/849P8GmrTtO+lwQzLDvSW/2I5F+dQ5fzMRTz+sIJADIeR3O055saBqLNCPCkbgEaXC+Hj16BBzOJNngiUTiCATiqGjswobNewSoWCJRmCKU8hoRtSUhbDYiJTUdnV4/0tIzhGlXfYssMEaCiHg7YQgFwPZOkm4okt8wUtMzMXj0ePjjNgSiRgRDUVkfJKFRdrZUPyjxfZjZ/NYizDAlstFAJw7t2IA7br387zdY/wCvREM5N9mYHsXNMmXkP/HgyFJq93k7yI6xmzxVGrrZvL/c++ftvbxQ95MAIOc4sn3jcvUilSzIqczoN666HPNnTUWQZvKQXxXaEiFLKRB3pJLErMwCWzUp5P4SG/iRqQgpDpxLlGT5EoBwOVCsgZUekDgkDcuaZBftqZjoCgowfsJEKZj1OFgVD6uaFhJEUJIlfhIW5eJP0XS+NM2xwKZsTOs9Iq9LAKL1JBEfSywqcjJOsvRhdHa6xbNCDwo7k6skLIdI8hyktgAAIABJREFUrTIzMpCWkSFgJCU5RQp0fRIWsKOlclG2RNAhZnMaucmcyN9R+LxeAR0NDcfR2NisZGw+r8izWLyTTRg7YQJcySmoazgOF/XOefmS084x0Rkq1V8khkg4gPbWRpQcPIDNmz4QrZXL7pAO9uzMzvdFEm20yEKmyVDCxuhhTrSUSBD86ahD77KuNL9GHCotwz//yz2n/LQxCIAMkA5kdPAh71HiSIzApzwCnB9YDPen49NiQPKSwxJ4YbFyvjHA0+WB0RhHerpLIteZKmixOFDV1IFX125FMBSHjcx3MIRo3IRokg2wWWGMm5FkdyhGXIt1Z/8iQyQAX3sLjNJXQPVoiooJPS7zYEqyEyPHTUJLwISOANMPKe0KCOggCJEcLKNF68dghIXsMINF/K2oKS3GHV9c2Z8+Jol7TYxAYgTOYQQSAOQcBo9P/aieIB/FgjjsNtyy6jLYpPO4GWZ2+RbWQu0wsfgXzb/BILtPlCqxWZ5InqJsUqgACKNeFTDhkmCQ3h1kLCi9am3vEF8F9aeMtssZMFCkRDSOC4jQelbxf+SljAYEfZQ0qYhfUqWK9aDhUHUcZSa7yJC0e5ZUJ2lUpaVJ9erWzoWNgMnnC4qOmcDJZCEAsSM1NU36obCXhjoMYmwXQMMGRCoiTF6fz21v566fiuCV+OI4xEvB3cC2lmZUVFShrq5OwAejeAmWyCI5JanKgeTkFKRlZGLAwDwMzBuE9PQMifsVcKheCogThAXR2daEfXv34J21a+V1UlzKSO9yqNQrnlsaL7ILsMkku5NM+hLvitbvROQIRB8ENnT6SGJXDD/8rwexfeeekz5tlEAUFRXJ+XQGpHcDw3P8eCaenhiBcx4BMpCnYnTP+cSf4RN8WgDEV3dAk5rGJeLb4bDDbrPCbqcEC4gEAzCbbGj0BPDujjL4AkCa2YpQMICYwYiI1Qary4lYkCyFNmfH1XwVDHlhCAcR9njEXB41Kk+bMc5UG05q7Odkgs3pRE5ePlxp2Wj1BOHxhcSgTjY9zLZPYOy46szNuHJulAW6GlF/dA/uuP2az/C7mri0xAgkRuCzNAIJANLr3dBIhRPeH+4+JSezAFYmPCnKTYwejMNujyI5OYykpChstgjM5giqqiw4csSK9nblBTkVCzJr2gRMnTAaZo1RYKHKBUL13YjKi4gMiX4Pgg0LwQZ3o7Sus3ECEO6OG0Sbq3bMTeIziGoXObKoSBoGOR1OWLVYW/28wp6wSZ7Oh0qRHBb2gB4KSpu448+CmBQ7DfTSRd2aJKBHZF9kbiSCkaBGXa8kqCiIov6LQa6HoEkiIk1m8ZlQQ6ybzFVXRu0ZGrgisKEPJuCn/yUs4IegQYAZgVg8Jt6TgNeH1rZWtLa2CVChtyXgDwirw6tjrjpzxxnBO2jQYAweUiDSKV5Hz6XSAxJHLBqGu6MV+/buxttr1iAaZjRwktwzGRCHsCE21ctFxoL9QFQ3d7ItfIyAKom/U655giqO0+Ej5bjnRz8/5fe+sLDwIzufJ8znn6Wpsv9eC79rlFT2p+PTAiDp4eMqGTEeV43YzGYkJzthszEoxAqr3Y6gP4yuCPD0K++jud2PNINJIs3jRrP4P+IWK8xGBmUkqx0Wsrb8KxQQ3yFjx5XEVTOXC6MOWI1qbuYExjmfm1YpGVlIzsiFJxhBgI0LA1GYLIxJV+l/VkYDhwLobKtBW10pvnzr1f3pY5K418QIJEbgHEYgAUA+YvB0MDJ4sA/f+EY50tND8HgsAjbS08NwuQg4xMosEzlBidUax7Fjdtx3XyFKSy3SEIlN8foedlsSrr9iCRx2+jEooOJErrpuU24kXAh35zV6m4sCX4PxjIpxUQsGn0l9rvTXMBql9wdp9qzMLBSOGIERo0YpqZaiOeQy1D8VYKB2V66fMq44G08FUVl+DJ3uDlVs2x1wsmO52dLd/Zsv3m2w1zp9s1eHMDdaN3X1Ojy/SbUaV3okNQwCMnS+R12bNATUnsOFlwksbS2t4regrIw9RSjVkuKeINCoYoG5iPoDfknB6uzoVIlhHo8sxvSksGs5QYjLlSJG/NzcPI1d0VimOPujtCMtbRdSUnbCbKpFl6cLhw934fW/paGygq9pkvsnwOD7RkkWF2dGHkval/YaBCL8HdkqdZsqR59m+Ad+8zAOlZSd9DlgkADZD5350H0kCfP5Ocxoiaee9xGghpteq/50fFoABB3lAj44p5oFPIRhNZuQmZUhGz82m0Nmz2DUgHVbylBR3440k1G8hBGDGQFu9rAhocw/iimXOYmnklASHyKUX0kAB6dU5jFyg8iAJKNZvG5kQxi8Ic34xGzOTSg70jNykJLOJnkmSVikjy8UiyE7NxeH9u/G9k3v4o7brupPH5PEvSZGIDEC5zACCQBymsFjsT5pUgcuvrgZy5YdR3W1A3v2pMmk3ftgUZyX58OkSZ34618HYvVqNgiC+CHKyk4uPPnc0cMLMGvqBNHPsninFIdsg85ycMHgLrsue+KuPpsnqQYz3NTSO6arwl+SryJRpKakYNToIjhcLpE20YzNBoFWq00WItH6SrWvkwDSqlf+wZ1ONlxqqK8TQJKdSeZgkIAjdgDn38LERJhTT/MhFynW9EZZMCXxSVvsFLNBP4cRYD69NBDkmtbja1C9Bbn8qYPnIaMTDAfR3Ngkr0NvBEGEPcku51AkiZKrCSGiARHxhoiZMoKuLg/8Xp+AJoIzjhmlUgQiKmVK+V8cjjoMHrQGWVk7YTBE0N6Wh85OH9LTK3D4kBP/84cCeNwWafYjIEFkUgqQCCMkhn0CEztSpPlissjg+FiJKY5FsaN4Lx558tlTfsry8vIkCSwRvXsOM1jiqRd8BOjtYlpffzo+LQCS5KmEyZKEaBywmI2IRYJISXEJ6HA57YiH/YjEQogZHHjyrx+ioT2AvNQ0kc2GzRb4AiHZhGJMLj1petM6riutLY1anK7OOqt3VPX+AJIsSQiFArAYuSZRfquasOrMv9lqFm+g1WSCw2nD8FHjYUzJQdBgxcFtG1FXU4E7br2yP31MEveaGIHECJzDCCQAyMcMHqVW2dlB/OEPu3DoUAr+8z/HIBQ62Rw8d24LvvSlShQXp+DJJ/PQ2GiQAvrYsWMfuXgvXzwPOZkZ3UWtdEbXAIKB0YtWyoUorVKNCoV5YEEfB4KhkEh8pKDXin16SjKzsjFq9GgBBH5/QFgAdhm3WpO07q49AERV/irWl6dgTG7J4YOoq60RQ3paaioGDhggQEgKbbtd7YhJvCwBB6VUXMFU3w4BUwJMNMZF+x1/Lz03FPmhwA+vWzPUCwQRSRiTV1TaF4seMkNp6WnCNlAOIOcQ/MHr1ZgdHb3I+6jujWMTDga7GyjSwE4TPMeBf5vNBjgdTRg16lXk5BxAa8soVFbNQuNxG2prqjG6aC0mTGzHT+4rQn2tDfGYxh6x4692n3o0r4ARs1lAkgAl8csQhFhkl/BnD/4eHi3RrPdHjaBj7Nix3cbzBPtxDrNY4qkXdAQIPvh97E/HpwVAcq1dCEdjSE5OFaM35bdkoDh3hdl8NRJGU2MTKutbsfVAvRjIC1PTEIuE4TWa0NLphoGbLjIXKl8Zj0gsKs1VKdUV2awWra6mUcUIG2BGRlYGOtpbhEU2GmKwEolIcpNK9Ysb4rLJRKlwkisNQ8dNRtzqRPmebehsa8YdtyZM6P3pe5K418QInMsIJADIGQCQ1NQwHnlkJ9raknD33RPQ3m7Va+fuZ48f34Gvf/0YgkEDfvnLYSgvV7GtXDxKS0tP6QXJzEjDiiUXS4KS7EKJxIieDrP8TBYPmtFDITmX/I5JJgaDotzZGVzfoTIaVTdxxtsWDtUeE5A0Fdn1F9+F6La6/RfiN9GKdv6Kfovqqko01NWhuaVZ9McpyckiOWKCFf0UNHjz3zoDotgXzcwoEixlFpefy0abAkiSFsa0Fs3nQTZGl4L1xhCMD6asSlK9rFbxsBBM9T5UYotu8uaYaaCK96Lr17T70YGb6sdBYGCC0+nBqJHvoaBgJyoqZuJY+Sz4vHZ0dLjRUFeF+Qtfw+TJHbjv3rFoqLMjxiQYGSvFuoj5Umd4tB1E6URvtaou6XbVAX3DB1uxY9feU37CGEGclZWlfDYamNOlVwnvx7lMaYnnnu8RoPxKb3h6vs/9WT3fpwVAyoo/gNmSJKx1SgqZX7P8YRNCsrtsEmi22rFj/zFsOVgNRMIY4nQhHo6iy2RCm98vyVaSvRdXzK30LpKNK82r16vXkmrIquZTzmFGkwUZ2QMQ44ZX2I+gtx2RgBfZKU7YkuyIWpJQVlktj3e6UuBISZamt61NxxEJh3DHLQkJ1mf1M524rsQIfNZGIAFAzgCA0O/xyCPFiEQM+PGPx6KsLPkkAFJQ4MW3v30U+fk+3H//SGzf7upmLdglvKmp6ZSvNG3SOBQNH8a1QfKkuBtF8EG5E3eqpNkg2Q4xoMfEAC0aXPmZYgTEE2IyISMjE5nZWcjKzpEFh70upGmU1sVbmdA1XKCBAtVXhBIsMjZhaRrEXh7cAaPnITU5RYAJr4OLmc1u1XwQdiSJMZISMDPiMZoSgdy8GgwdcRjVlWNx/PhwKc8FJCEOu60Ts+e8gZaWQQgGnQiF7AiFbAiHGT1sBGt8t8eA9g7KpFwCQMgucEwUrugtfev1//JL0XN1y8v4D9WYMaaZ+VW8L4t8l9ONCRM2IcnmxbYPVyAUdCIWi6Czox3x+EGsunYDvF4THvzFKLg7CTYVWFKd08k6KfAjPhfuHtKEL0QQvTyK/ehwe7Bm/fun7HxLv8jIkSNPkl4lvB+ftekxcT0cARrQKc/sT8enBUA6aw8hFlX+MZIP6clM7IvKJkUKmwz6fOjsDKC0oQOHajtgiIQwIicXgWAYfhjQ1NmOOCWxZhOiEX1jRuterr2BnGf0FCs1rxnEMyJJWEaGbNilf4gxHoEzCWhtqoXLZhZprNXhQl1dIywWJgC6EDeYhLFxu1slJvirCRN6f/qaJO41MQLnNAIJAHIGACQpKYb/+Z9i2GxR/Pa3I7F5c9ZJACQzM4R//dcjmDatHb///VC88orqNTFnTissljCeeqoRjY0nL+JMNrnm8hmYONmPQXleduFAc1MqaqoGwOtNEqM1O6GLNyQWl10qggoprqVHSA8Ayc7OloXDlZwsgERpdw2w2/1ISWlFW3s2IhEW1IoJYXEuAESpqCQ9qrqqCq0tLbQ5YumSVlyx8gg+2DgMr75SKCzA+AntaG9PR8CfqfwljNTVOqebTDFMnLIX06YXY/uHc1FyeJJK9pIxjiG/oBzXrHoe7s5UhCMWxAR0EExZFQCJxdHWlordu8ejszNfzqsOA1LT2jFq1EEU5JfDbAkjHGLXdHaED6CtLQdbtiyBx5OqPV7nVBQ7ItIBzRTOc7HxIO/faGSssQZwYhF0eVpx8cK3cdHMY3jysXyseycXoYDSQRN88b0gECTQGjPWg8VLmzBsmBeBoAnBgFECCjiY27dl4Wc/a8Kxyk4UFQGFhcCBA0B9vTJ9qq7nTlitJmRn85xm+Hx8X05kes7pm514cmIEztMIMIKXGx796fi0AIiv6iBiZG8jUdkAQiwEp8sumxopGZlIHzAQbS3t2HekAZt2HMKoIYNhDkbRxchzkxEdvi50+nxqQ0vbOOneuNFCQ/g+ch4S8CGbJ4odN5GtNtHPx40lu4pFj4Yl+tfmcMBgNiIejcLn98h+D5kaPp7y3qbGOunT9JVbEwxIf/qeJO41MQLnMgJ/TwCSmpoqqaUX4qBtwLBw4cITHAHn44XoAWHC1W9/uxsDBgTx5JMFeO21PMS4SvQ6nM6IMCDz5jXj2WeH4MknB0ux+s1vVsBkiuJ3v7Nhy5aa7mcoKQ8wdSrwjW/YMW2KXcXqRkwIh81oqE/Fjm35qK9LFm8Gk6HYBI/AgnX52Amt+NI/HYArOYxIWLEM/DlVW5WVQ7Fv32Q01A9ElzcFY8cdxIL57+HgwfHYsfMi+P1JiEZUh3FW4no0Lgvs2upq6dI+ahTPX4Fhw9uw6YNRePqJiQKC/u+dH+CddYXYsytXDN4EID1mbGDugr2YPLUE770zDyUlo7ujHgWAFNbillv/iuKd41Fflw2LNQKn04uUFK+AgbT0dgF569cvxLFjw0XmRGCUkuLBlCl7UVBQg9raQaiuyYe3ywWzOYZRo0oxbdpOvPzy1Th6lIxLX6ZEfSSU4V39P4EL4sqQT0YDBmqcgygq2oOLFxajrtaE3zw4HK2tTmFlZGNQk4zx81BU5MF1N1TBYo1j66YBqKt1wR8wIiMjgMVL6wBjF772Nb+AjquvBpYuBZ56CmCD9YyMbAwePBgWiwlTp/pwySUdeP31XNTUcKcz0XjwfHxnE+c4vyPQ2Nh4Sibv/L7KZ+tsnxYAKd2zCyEGjDBUJMimqkYloTIYEA4EYbOapC9IS3sYobAF6Q4b3J0eRGBEm9+LlIwMNLW2IiYdypVUVICGNryUXPUwyUaVuCXSWT6eclDFEnPzh8w3Zb6cLjnXS7Q6mRLxgMS0x5kQCYXQ2tIgDHECgHy2PseJq0mMwGd5BP6eAIQyVloILsRxwQAIgQIL3Z/85ADGjXML+Hj00aEnARCrNYavfvUYli5txMsvD8Ljjw+RhePee4/A6zXg0UezsWVLbbchXQcfP/0pC2zg9VcHIBbNl13wwkIvZs1pRE11Cta9PRQN9UmSDiWTviGOseM68J079yIYMOHpP4/Frl1ZsnCMHWfAsmXlKBpTjUAgCW+9tQAHD47C3Lm7MGvWbtjtAaxbNw87d46FPwDxkbAyF6kTfSgGoKnxOAxoxo03HcGCixvB+9r0/gj8+ckpwpjc/9O38NILo7B18wBEo8qMTvM7U7KSk+O4bEUJJk+pwhuvX4SD+4dqixbf8hgyMty4866/4ZW/TsWWzcMl0cpiicp1GY1hzJl7DOPHt+Cd9XNRdqRAPic2ewiTJh3B9OkHUFpaiO07JsHjJoolOIlj9MhK3HDjW1izZg4+/HCi1lbkZByqm9e7AQh3+zSBmMUaxPhxpVi4aBdMxjAefSQf27enwee1KBZJXotNIg3Izg7h9i+Xg/HMTz4+EocPZgiTw4XZ6QrgkiVlGDOuAffcA7z/PnDttcAVVwB/+hOwY4cZRUVjkZVlwNKlbixZ0oYjR5IFsHq91pM+Uxfii5I4Z2IEPukINDSwuDzvezuf9DL+ro//9ADIHi1gJAKb2Sj+jyQL2eKI9N7gVkksHobXb0RrK0VXMfhCEXQGA/D5A0h2JcMfDsFoUex57w0ZZUDnvKckpdpvuw3pZpH9simhYs/JtFOK252YKPHvWnS6tinDUA5Kd7s6WwSAfPmWhAn97/pBTbxYYgT+gUfg7wlA0tPTJUjpQhwXFICQAfnOd45g8eImbN2aKUlYLL57H+wJ8sUvVuLyyxvwt7/l4Ykn8mUB+OlPD6KmJgmPP56NurqoNCfkDnxyMvD448CwYcCddwLbthkxacJUZKalITUthmWX1WP23AasXZOP9zfmIeBXKSQOZxB33rUXI0Z48PAfJmDH9oGIRJWJkAgvb1Acy5fvxaTJx/DqqyzKx2Dp0mKMHl0Dr9eGvLxWPPfcQpQeyUJXl1/8ETRPs+suwYTf14Lp00ux6JIqBPw2DBnixZ49g/DUE5PlNf7r52/iL09NwK5dmQiFGHurmiPSC5GaFseq645h0qQmvPTiJOzfl6ey5oWBiCEz04Mf3/8OXnyhCG+/VSgJLnyuyreP47obKjBlSgveems2SksGyzjlFzThyiu3IRCw4M03Z+B4QyZi3UxBHLNmluDqazbjzTcvwsaN4zVpnNqp4yGsR5/aiSwGGSymdVmtZKGOYNmyXcjI6ILfb0ZFhQMbNmTjwy1paG+3CVvCx/JzcOXKOlxzbQ1ef20I3np9MIJBlTJD+ZjT5cHiZTsxaVIU3/8+sGEDcPPNwHXXAb/7HVBTU4CCghR89atNmDHDg/fey8Lbbw9EU5Nd2LC+rNqF+KIkzpkYgU8yAvweEYD0t+PTAiA1Bw4CCMNmtSAzwyUMbSwWFsY0FGayH03lZmzeeQQRA+cmIGICWt0eMZ/TL8cNoW7A2EuGRQCiH/RucH1SaYJKWipS3G6GRKUacm2gB1FM7WyWrjMq3cxKTBoc+rweOXUCgPS3b0rifhMjcPYj8PcEIAz94Wb7hTguKABhwXrrrVW45ZZqieK9997x8HhU4akfLE6vv74G11xThzffzMUTTxTIBP/LX+7H0aN2PPVUDpqbDWhubkZDQx0WL1aynLvvBp55hhG4kGZ3c+fMhNNuxdDhXtx4czmiEQNWPzMCVdUuWSBGFbXje/++F/V1Ttz/k6kIhdglnbntJiSnuDBoUARXXLkP06Ydw8svsygfixUrdmPixGq88cYUXHqpSmV69NEFaGxUaV58rkTqGoGc7GpceeUBtLSY0daWgsVL6nDwQA6efHyKsAD//dtX8cADc1BV4UI4HJNeF9JVNxYH08JuuLECI0Z1YPUzRTh4MLtnwYvHkZ7hw68e/ABvvz0Ef3l6hDToFW9GLI6UVANuuaUKY8a04dXXZqC0ZCAcjiDmLyjFggUlePfdsdiwYQyikZ5x5/ty1dXFWLToEJ59dg62bh2p5XFp0KO7Z4iGQTRQwudFIwqcOBwhXLzgKKZMrUYoZEY4HEd6ugeZmQG8vSYHz/ylUIzoHBsGDPyfb5UhOSWCX/x8HKqrSOfpCV9RtLv34kc/7kBqKvC97wFbtwK33QbccAMZEBfa2obiy19uxty5brz0Up54ibq6+IUgwCEQOxHUXogvSuKciRH4JCPAwpQSrP52fFoApLH0EExmIImBHzaVgJiR6kIg6BffGJ0abm8E7207gmDcgs5OD6xOGzyBgNL0ahJUnf3g5okuuSK4UNHp7N+kwjOU/Eo9huyGAjFqGuW/+SdAACLsu3QF0dgTJe2KxSPiEQkF/TKXJwBIf/umJO43MQJnPwIJAPIxY6e8GnFhNv7lX8pQXu4SANLcnHSCEZ0AZOXKegEhr7wyCKtXD5YJ+fe/3yMF9v79LrS2msA4/dLSVixa5MeiRcBFF0GaFmpsObKzszB9yiRYk1hc12L+/OP481PDUVycLRP+woX1+ModpXjllXy89GKhsAGqB4cZLpcDRUVuXH/Dbgwd2ornX5iCdWuLcN11ezBlSi0e/uM8FOS34eabi7F+/Wi89tp4SfZSixZgtwexYP5hTJpcj+dX5yM7J4rrrqvA3j0D8Nhjk0jc4/d/fBM/vHc+mptsYFsSLkzqT1Q8EDfdTHmSF08/NQIHD6Wrph/CgMThcoXwhz9uxe7dGfj1r8Z2AxC+dmamAbd9sQrDR3TgxRcno7SEXol2fOGW3fL851dPRvmxTO3dUufk+/Ktb23CpEn1ePBXi3D48IDuLvL6a/Z+e/VdQZstDLsthM5O6pzjyMoKIDk5go4OpswARaOrcePNJcjJ8eN3D43E2rUDYRKwU4drr63FO+8MxF9fZpNCpYXmeauqa2BzVGD1amU2/9a3+D4DX/sacPvtBpFZjRgRw8qVZKDy8P772WI8V9G+il1JAJCzn8gSz7wwI8ACmCb0/nZ8WgCkv41z4n4TI5AYgf47AjoA0VsRqPYOPS0azufIMKSpJ9jofJ4Z0rvunEzoLGaZDNJX6qwkr3EsWNCCH/zgEKqqHPjhD8ejvp6duXtuggXkihUNuPFGBUBefFEBEDYwHDHCi1CIBnN1foINqzWCHTuAyy5j/40TB2PkiOEoKCjA7FltuOkLlVi/LhdvvTVYHrTi8lrcdls5Hn1kJDa8O1D8BwJAzGY4nRbMmNGM227bg/T0AJ57bjxef300vvCFfZg6tQG/+c1stLfb8e1vf4i8PA8eeGAe6upI8zMDPo7hw9uwcuUh1NXZ8eILeZg7tw3XXleF4uIBePQR+isM+MPDa/Hvd82H223pBhAiE4jHMWhQF2699SiyswN44okR2Lc3Qyus1Y6aNSmKPzz8IVrbrLjn7ikIaw0dKW9Kz4zhttsqMXx4B559ZjwqKtKwYEE1rlxZho3vFeDV10YhGKARUh18X2y2CO69930UFHTg3nsX4dixdM0DcvoP16BBHowf14TNW/Lgdlu1mF7V34NSsUgkhBtvPIwrV9bi8KEU3H33RAwe7MfXv3FUggh+/eBolJW5GMEvAKSlpRWHS0swc2YMr74KbN+ugEd1NfDd7xrw9a9b0NBgx9ChAQQCJvzoR2NQX+/QTOc9YCohwTq/k0LibOc+Av0VgGRlZCAzM1NjaNUmg2w2aFsq/csRc+6fo8QZEiOQGIHECPQeAVY+ZNcbm5u7e6FdSAAyYMAAeZ0LcZwzAGHjOYKDkpIUBIM9aUQ6AJk/vwX33nsINTUO6QVSVcXUohMByPLlDbjpphqsXj1EzOo8fvc7dlBPxvPPD0RHhxE5OT5MnNiJW289jnXrIvjqVyFMQt9j3LixuHiBDV+5oxKlJSl44vHhUnUvXVaPO+44ir88PRSvvz5IfAM6tZ6SGsPSpXVYubIcFguL4eF46aWR+NKXDmLKlCY88MB0NDQ4MWVKM7797d3YsCEfzz03WoCAKzmEZcuqMGliM156uQA7dyZj1apaXHVVLbZsGYhHHxknl/jII+/iu3fOgacXAOHPuUCPG9+GL32pDHZ7FH96dCSKizOE/1AJVDQ1xnH//bsFoNz53andDR2pNU5Pj+LW2yowYngnnnpqNFpa7fj61w/C4WCE8VgcPkyzt5I7qdjgOEaM6MBddxUjIyOI731vHsrL9Rjej/6I8bkTJrZg4cI6/PmpInR0WFU/Fa0Zl/KMRDFqVAvu+f5BYSVu+cIsXHbZcZGIbd6ShdXPDUF7OwFYFG4/sKsaAAAgAElEQVSPBwcOHBRA+cUvAg89BKxbB/zzP9PzAfzyl8n46ld9sFjieOedLEyc6MG2bRl44omh8Pv5ZUgAkAsxISTOeX5GgH0n2Iiwvx0qvluBDn7P+UdnO/vbWCTuNzECiRFIjMCFGgFdBqqDjwvFgHymAQi9G0y7WrduoEhzdHChA5AlS5pw110lAjzuvXec7GifDECO48Ybq/HUU4VYt26AvF+M7z1wIBnPPTcYLS2U7LCpVBgPPVSK0tI4brvNd0oAwjfhiitG4M4720Tu9fvfj5LzEbzcc88h7N6djt/8ejTCEWU8ZBFfUODDDTdUiKTI4Yhg27ZsPP30CHzzm4cxeXIbfvKTyaitdQpz8G//dhAFBV341a/Go6wsBcOGefDlL5fh+HE7nnhiGNxug9zLVVfV4YMPBuDhh4ukVH7m2Y2487sz0HDcJh3C5TCwSSHBTwNuv70cwaAJDz88Els20wPSg9KMpji+8fUyzJ3XjB/eOxFHj7pUE0UjDewR3HZbBUaOdOOxx0Yg4Dfj7nv2yT386U+jNfDR8xXg611/fSVWraqE3R7B3XfPwIEDlHwJHOp5oAZ+5Eq1y505swWXXVaL//3f0XK/0k/lBOorjsxMHx54YC+Sk8NYdc1c3PHVY5g3twUP/noU9u1LFvaHxdn+/QcQDgcxcKACH1ddBbz7LqOVgaamFPzsZw7cdFMLNmzIxHPPDcLkyV586UvVeOSRodi8mX1ZeiRw/Sxo6ELNZ4nznscR8Hq96OzsPI9n/Mc4lQ5A9JAMXWqqb7b8Y9xF4ioTI5AYgcQIfHZHQJo6a3/6ApDzfdV5eYoUuBDHOTMgq1bVYeRID15+eTDKy9kZu6cwpLzqK1+pwHXX1eDw4RT84Ac0ofeAFN4QH7N8+XF5zKOPDsOmTVlynw88sE/O9+yzg9HWppJH4vEwfvazMhgMMaxaRQ+I+5RjMm6cCb/9bbJE6v7856PljUpNpezoEHJzA7jvvnGoqCATYwD7kDACeP78ZpSWpmDMGDdKSpLxxz8OlwSvKVMoUxovDA4lZZMmdeCee0qwcWM2HntsKGbMaMMXvlCNV1/Nw5o1A8XPeNNN1bj66jps2ZKFBx9UAOiVVzbjP/5jLPbsSeseI8rXhgzx4/bbK+X1OTYPPzy8G4TpN8cxopeGj/vd70bIa+vj7HBEcdttVRg/vlNijhn/+53vlEmkMd+T3sU5QWFenh/f//5hAV18LJPJeL4zOS66qE0CBejL2LEj4yTvBc8/cGAAv/jFXjidUVxzzRzceWcpBg3y46GHhqOszCHm0H379kmUMYMVGCrw9NNAUhKwaxdN6BZ4vaPx2GNVGDIkhN/8phDbt2cK2PrWt45h1qw2GceyMoKZk6V/Z3IficckRuBCj4DH4wH/9MejNwvSm/3ob5HE/fG9T9xzYgQSI3DhR0APyOgdhqEDkvP96p9pAEJm4f+z9x3wbVbn+o/0aW/J2463kzh7h0ySkJCEvWeBMgq0ve29tLcUWkpvoXT8ewttKbeDQtkzbBIIIxCSELKnEyeO95SHJMva+ob+v/coCsJxPEIcO+Y7+eknW/p0vvO935FznvO8z/NeeWUjNm5MZQLhRBoWLa5tNp4BCVr0rl+fhkceGXts5zp5cU0A5LLLGtminxa21Kh+COlFiAFxucjPnQCIgBtuaMTll7fiO98pwLp1DQiFwsfpT2bMAH73OyW83hQ8+mgpAyBUaPCcc9qZIH7HDgcef7wIwSCH+fNdTARfXW3Etm0Olj5FDMNf/zoaP/zhEcyd62LaFRLR02KeAMuPf1zBnJ3+7/9KMH26ByUlfvzzn8VM55Jw9briiibs3WvFQw+NZ9fz+uub8dxz+QyoJMCDxcJjxQonA2A0FotFYCloq1aNYuCAYkisCD0T8PnlLw/i/fcz8eSTRccW35Qydt119SBw8OSThaDq8wRAqJ9XX6Wijl8CQpNJYFobuqZdu+xYvtyJ118fhaefLujXnJ08uZMVjaQ4vfBCPhtzcqNxEuP13e9WMbezb397Nu6++xAKCoJ49NEiHDigw759Zcwjn4BaYSHwpz8BGRlx4fmECQr885/Z2Lo1A3/5SzVsNhH/+EcBDh60Md0HuYX98pflsNmi+O1vxzEQKes/+nXr5INOcwQo/YqYvm9iO2blfTQdSwYe38RZIF+zHAE5AoMdgWQmhM71ZbHUU3Nm6i8rK+vUdNZDL1+bAaEF+c0314J24mnh3NhoYGJxnY6ci5pwyy21cLk0+NvfSph9avd0GVqw0yL8ooua2TH798f1CCRcJ+Hxc8/lwUlpS8zuSkJ+vg+/+U0FNmyw4LHH7NizpwaRCFUmjzfaVSdNARW0W7VKhVWrprAqjiTYNptF3H57Dc45p42BDOqfRNK0WH7qqQK2mL3llhpmGUxjoesiDQMtdsvKLOx9Gi8VVvyP/6hkonOqQF5dbWLggsAXvX/hhc1M00KAhITY1CiljFLCqC/qh4DDzJke3HprDRob9YwZoXopBw5YGBAjYEfpUmVlVgbaiLF45JE92LfPxlgLno/XN6HzXX11AxYtameMTCCgOqq50TOQQLEjZoIW7/PmdTDwQYwH9XvffeUMeN1zT3yMfTUaw/e+VwmHI4rnn89nDA/dFmKSaBxjx/pw551VGDPGhzVrsvDooyXs95UrW/Haa5l46qlONDf72D0iVo/SrUaPBh5+mCqdK/DTn9L9SmduVz/8YRMKCsJ45pl8Bv7ilrvAmDF+/Oxn5Whp0eHRR0cfnRuyDW9f905+//RGgBywiO37prZk0CEDkG/qLJCvW46AHIHBjEAy4DjV4IPGTeldpAEZrPa1AQgNjBa211/fgF27bGxRSiJhWoQSg0CLU9J10OKYXu8JgCxZ0sZSjGjhffiwmV0rpUtRkULanY/vdBMAIS91EVdf3YgLL2zDU0+l45NP1Ni+vRaCIIKqxU+bBtx1FzB1KnDPPcAbb6gxfvx4WK0mlsaTmspj4UIXZszwMHaAWBba0S8vN2P69E585zvVDCgRm0AgghgRYjo2b05hi35azBPoIlvZq65qZKlZtEimPuJF+mKMVSEgE40q8d3vzmDXQ/VQCGQ98MAEBkwoZeqGG+rZAp4W821tOtx8cw0bE7EmxCoRQ7JqFVX75lgaE4EYOl9yKlsCgFDfjz8ejx9VlidGhAASAQyKY25ukIEEurbVq7PYtVAqVmFhAFdfPbdf84tAJqWrJUATpZwlUsomTfIysEb3nYAW6X1qa/Wge3vjjfWw2ULYtCnGrJOp3sfMmUBdHYnzKT2NNCDpuP9+P7NdfuSRIvzoR3UwGiW8+GIec75KCFHoGpYta2Vpb3v32tj8cLvjRXLIEIGAGwHIHTsSuhYwi+XZsz0sFokUPzq+oCDAXNqam3X4+OPB+5L1K7jyQSMqAm1tbRB6cskYUVfZv4uRAUj/4iQfJUdAjoAcgYFEYDBAR/L5zwgAQgtlSmNavLgdbW1aBjSIJaDn7dvtePXVXLZI7CldhhbsCxZ0sDQkWvQTM5EAIHZ7FP/6VxHTj3wpbpSYGPzmm+swdWoXdu0yYv9+qiHRjsxM0pMAY8eC2bpSes+RI4BKpcKVV+YjHE5BZ6eWVQ+nxS01AgnhcBxY0CKeFv4ECGgHn66JQMizz+bjk0/S2bFxVBhjC+1f/eoAA0d//ONYuFzx+ibUT1GRn6UqkRD7tttmsc+Q9oTS0ehcxHgQW0BOUi+8kIedO+OL5ZtuqkNGRhi//vV4lJb6GBgiHQdpUmbOdLPUqooKM375ywnHtDQJAEIsCMXq00/T2SKcroNS32hMxPAQM0XV6Ol++P1qpmeh9LFLLmlmGpf+NLq29PQw65tYK1GMx44apX6RixcxE6T32LfPikiE4tyFBQsOYeXKKFJTgVAIaG8H9uwBXnopbr1LOYZjx6ZgxQovjMYYXnghFz/+cQ14nmO2zG637ivmBsQe0bhXrmzB22/nsLQ2aqSFoXtGAOuZZ75MKyM9DoG9zz5LZal1iUZM2Pe/X4k9e+x46KFx/QmBfIwcgX5FgKqgywvvfoVKPkiOgBwBOQJyBIZhBKgCOlVCH6x2ShgQWpgSWCAhNS1+aSFKu+C0Q03MAKUFncipiD5Lu/C0oKdd644OLbtWSg+iXX9iRWgxSy0BQigVS6+P4txz2zBlihcpKVGoVDwkKQqPB9i6FXj5ZeDAgS9rhbz/vgJOpw3PPz8OgqBiC3BK62GVbJUx5OcHGACgwnr//ncBDhywsnFNmOBlC1TaJU8GUKmpEZaiRWlcNMaEIJquh1KnSCNCPycAFQGF0aP9uO22aqSnR1hsaOFMbIggxBfxaWkRZGWF2HukAbnjjmoUFQVQUWFicR01KshqpRBASqRg0dgJEBAjQGwA9UmfpfPT+CnubrcWtbUGZt8bt+SNAyWKAaWg1dcTw9C/RtdBKViULkapZgSYqNF4yCb3xRdzUVNjQCQCdHX5cOTIIZhMEcZ4UNoV6XLJZnfnzriNssORipycUVCrVbBYAJMJcLl0uP32esaevftuDgOv3ecPsVBkgEDPFH9qxCrRgxgQSlVLNNLokFkApXLRfEw0iifZRBNTRPoluckROBURILbW6XSeiq7kPuQIyBGQIyBHQI7AkETgjAAggxEZ2s2mBfmbb+YwliHRkh1WKB0rMzOI7OwgAyRutw/l5W4cOhTfZadFdmLh+tRTwAUXAD/9aQZqaoqZBW9CwJOZGWFMB6Vl0Y47sR/EdlDqEi3S4+Diq45LtAtPonECGwl2J7G4p7ESMKB2siJp+jyxSDfdVMvABLEllO5EAINYBmo0JmrEINFu/ocfZjCWYzAbxTRxfVqtiNTUKAOcTqcWfj+5lVENgBhcrk4cOnS41zQUu93OCkcSzUcsVbKd3IQJPmYcQKCBmDS6D6QBIfBD84LuCZ3PZBIZQyQ3OQLDJQI8z6Od/gDJTY6AHAE5AnIE5AicoRH4xgKQ3u5Xd5tHKnZF+db07Ha70dDQcFz6w/jxwLPPArm5lJplxuHDo2G3xzB3rodpQsixi1J3CPAEgydmbM7QeTSow072/qfdX0o/qa2tParb6fnUROuNGjXqK5U8B7Oa56AGQO5cjkBSBCKRCFwu14iKSVpKCqtwLjc5AnIE5AjIERicCJB5SbvLdcrdrE52tGTgZLN9mU1ysv2c6HOnJAXrVA+qP/31BEISlXepAFhdXR0DJIlGu+mzZgF//nMchGi15NzEMaaDUnDeey+LWQmHw6r+nF4+5mgEksEHuf5UVVWBvkS9NdJ8pKeny+BDnkUjMgIjsQhh6ZgxKCXLutPcjIIX8xcUQgq6oRY5cKICXR4fqqrakZrugD1dAZ2SQ0gpQGFOhdZsRl1lDYySGRk2Pfz+CKKxKFQ6K3JG5aDJWYXCkmxU19Zj9NipsNoz4e70whfoApHWOpUaQb8fSkmCJJLFnxI8LyEGFaK8hP0H9mDC1BJYU/RwNreiqyMI3h9AVqoZPl8QomSGLxiD2a6BAgL2tAinOWLy6eQIyBE4UyNQXlGB8sOHvwJABlto3lusZADSS3Ro8ZsodEXPCQBCz36/n4GQhBVmXPNAImrgsssAqhVCIuqqqnRUVuYyETlpQhJuSwO96ayqukqF+SsuR2ZuId597jGEAv5jTEwi3euYjkURB0BanQF6oxk5BaOhVKnQUlcJn9eDSIj0GzFISSBqoF8qdg2kcTmabqbkOHCcCgqlEiq1BkazFenZebCnZSIc9KN8zxZ4XX2njvTk809F1yoqKliBwRM1Gk9ubi4cDsdx4COuxYmnxclNjsCZHIGRWIRwqADIhy89hXvuugIKPgB3swsNlfVIS03Bxx/uxLiJBcgpMECFMCDxsFnz4bBlY+feAxBjFkyYkI+m+gaIUQ/0mQUYO3Um2tvbYDTasGnTVoyfNAO8qABPQEMZg9mhgdmigautDXqNMl5IMiaxWlO8IEKrN2DVqtfw7VtuhMWhxeHyw2iqbUEsGER+jh31dXWIhLUQJQ4Gk4CYKMA25eozeSrLY5cjIEfgNEbg4OHDOHjo0DF5QGI9NFTrIqPRCCvZlg5SO2MZkEQ8emNCaDFMqUB0kb018jkuKio6pkE4mZtOi/q84nFYftUtTHfy+hN/RGdHa49OONQ/gY5RRaWYPGcRCsZMgiBEIQoCYpKEw3u3YeP7qxAOBtiwk4GExZ6CMZNnIadwDHQGEyRRQFtzPcq2b2TPYNKTGAhs6PQGcCoNNFotNFo9HOlZyBhVAIstBalZo6DR6aHRaNlYmusq8dHrT6O5trLXWHUHH/1NuSKwVVBQAIvFcgx8EOCg12XwMUjfbrnbIYnASCxCOFQA5OMn/4ZvXb8MsXAIe77YjbpqD0pL0lBb58VZ88cjt8CAFBsHISqBj1iQmZ2Hfft2AFBjwrRSHDjUgSPVLXCGAmhx+cCH6Vgd9DoLFGoVwtEQ+JgIQRSgUWuQmZ6OUNAPs1GLtBQbdHoNFEoJzAQ+JqH80H4sW74QKekmdLo9aKxuQNDlRCzSASEagFpthVqlgEHrQWqKA6HCa4dkDsonlSMgR+DMi8D+8nIcLC9nm7GJDdnBqnDen+iYzWbQY7DaGQ9A2HL7aMVdWgx3Z0JIEFpTUwNKi+it6fV6FBYWst35gVaXTACKK++4mwEDn8eFV/7+O3Q4G48DIHSs0WzDzEUrMW3BuVAqObhaG3Fk/0543R1IychGek4eNn/wJgMFiQU/AQpiSeavvIIdE+jqhLOhhrEYxLjs2/oZdny2lrEuBEBsqRkYP30e9EYT7KmZMFqsEHge/i4POloa0elqQ9DfhfwxEzBh5gLs2vAhdm/++Bjo6R6rnlgPiinFlhZcvTUSMhH4IDRNgCPx6P4lG6xJLvcrR+B0RmAkFiEcKgCy5u+P4cLz56H6cAWaqtphUKuRkW5Da1sniscWICVDgVS7AZJSA5UhB6npKago/xzZqemwp6filXcPYsdhL1TqGMwGM5SSGQEfpeBqEeMEaA1qcFoNeBFQQQ8pKoFTEvMchT/ghcVkYAAkEgkhHAkhGg1BFINQqCLQ67VAiMeC6aVQCm0IeJ3o9IRQUpSNMWNMaG/rQGD09adz6snnkiMgR+AMjsD+gwdRdvAgW4Mmm/IMFQMiA5B+TqbuIKQ7ECFbzNbW1j57IwBSXFzM/oNKBiK9TQBaSJ+19GLMWXYxS3EK+r146f9+0yMDQqwFgY8ZC1ewsRzaswVbP1nNQEuMMo1ValgdaejqdCEapjoe5P6kRFZ+CVZcfRv7eeeGD1BfVY5IKAhbSgbmLb8U0UgIG9asgqc9Xn+AmI6xU2Yj0OVloMPT0QpPuxMCH6/OTMAnPScf81Zcxs65Yc0raKmv7jE+X9ofk6tXPNWtvr6eic3jBSJP3IjxyMvLA4GQxBeq+xdrqL5cfU4G+QA5AicRgZFYhHCoAMgnTz+BFUtnY8+2PYj6Y7CazbDbDaipa4RGr4PKKEARU4DTKlFQNB5Gsx4NtRWYNWMhNmz9HLsPtEJptCM/QwOLTotQQEIoILJMW61RC6h06OwSEQyroNbbEQiFmSMf2YIbdXoEggF0ul1sF5Be62hvhVYDBCMeKCBCGeExe2IeJpaY0dlRBa1aA61WA0eqBk2NTkiTbzyJGSR/RI6AHIFvYgT2lpUxAJLIDhnqTVpKv6KN48FqI4IBSQQnGYTQz7RQTgYiXV1dbOHcV4Viuunk0JSTk8P+M0pOyeppsTx60gysuOo27Nm8DpPnLAYfjeLFvz7IGIbkYmT0WUqfWnTRtdAbTNj9+cfY8dn7X9GKJN9oOp4+TwDh+h/ez/QcH7/+DNpbGo4BCQImiy+6Dl5XGzatfR1dng72mS9pOwUDNpQXljwWk9WOWYvPR8GYidj26RqW9pUAJ93jSb8n9DbkMlZdXQ1y+umt0fmzsrKY2DzxZUoGHsn04mBNbrlfOQJDEYGRWIRwqADIwVefhEbDQ68ygpMMTBtnNGtwpNaJMRMmQGWQEFNYGCtBKU/pGenYufsAmlsFNLvqUZCTht/+5r8waYwDvk4n+GgEdfV1MJotSMvKh6C0o8kZwetvrsf76/dAqbVDECQIvASD3oS01Ax0dLgR9AWh4ih9izRuIURjPgh8GIpwGKMcSpQWqjBjUg48rjakpKYhEPajsakN6qm3DcUUlM8pR0COwBkYAQIg+8rKjssUGao0LHLAIiH6YLURBUASC+UTpWQRGKGFM4nT+0rJor4oLYvqVJD9ZE9sSAKMkLZi9MQZOLDzc9z8k98yQfeLf/01QgHfV0ToBpMFiy++noGQfVvWY9unq+Hv6mS6j54aCdsp75j0JbMXn4/muio01x6BJMXdvUhIPn3BuZiz7BJ8/sEb2L3pI4hi364rxNKUTJyOuedegppD+7F9/XtfGWuysxWdh+KWEPX3lW5FxxPbQawH7Rr2BD66p7gN1uSW+5UjcLojMFKLEA4VAPF9/DLsdh2UkgoqhREKhQRJLWHTF4excOlyTJw2EW0dMeyrOgR9qgOLzluMz9Z/jI1rP8V/3HoJikelY9LEHER8QXR62tHhqUMw2oWi4lIYHcWIcqlo8yrAK3Tgwwb86pd/gNvlhcvTBbPJDsTUsFsc4CMC/D4fRD4EvUmBNncjtBoVlNEIsq0xTCjiMHfWKDQ3VrONK3egDU5nB2Kld5zuKSifT46AHIEzNALDDYBQrTZaBw9WG3EApDsISezcd2dD+puSRf0RBUXuTScCImw3X6mEVqfHbff+b48AhI4pGjcVZ194DfxeD9a/+xLam6nad7xgYY8ARKlk4KQn1kVJIGLCNJxz6Q1wt7Ww/loba/ucJ5R6lZKZg/nLL4Naq8PG91bB2VhzDAQlaz0SwIPqqhDz0Z+WnHLVnUYcDqKq/lyDfIwcgZONwEgtQjhUAKRtzatQqaNQcXpA0iEihMErRVTVe3HRFd/Brn17UV7lBK+zQV84BpZRDlxx6VxkcEEcWP8cLlp0NvIyU6DT6XDg4G50eFrAaW0oLFyC9z9uxfZ9QdS0RmBOz0CauRXnLS3Fhg2f44stO6A3WBEMhKHhNOCghFajRtAXQkSMICoGGKuslkSYuS6cuzAHU8fb4WyqQlFhHhpaKtHlC8Az6qaTnUry5+QIyBH4hkUgAUBorZRcnHmoGBCq10YbyoPVRiQASQTrRLqQRFoWsSBNTU0IBoP9ii/pQgiIkGtW9118WtiT4PuO+x5GwOc9jgGh9+YuuwSjJ89iAvOKfdsgCDzSs/NhT82AzmBkv5M4nMTlfIScuygF66vsCJ1XpVYjt3gczrnkBmbdu+n913B471bmotVXo9Sr2UsuQOHYydixYS1zz6K0hO7AjZgOSiXpL/CgLwulrRFl15vWY6i+SH3F5WTf7w1A9tXnmax9mTlzJkpKSpCZmclc5uhx6NAh7Nixo88Ux77icia/T3Ho73fmTLrOoQIgn/ztcRgMCkCiTR4dKcUhaThY08dCZyzGnoOHERUV0JhTwOsyYSvIRcmEDFx70Rx8+tIDmGJXYHyGlkRviCpFCJyEUbkT8Nvfv4W2rkIElAXoiAJBIQClvwzZlghuv/NOvPjyKjQ2NkOnM0KIRqFWqcGRyUlMQpCcs8QQYhChVyqhV3hx7cUTUJynQpuzBnlZuairroUoSahPu/JMus3yWOUIyBEYwgjIAGQIg3+qT92TZWx3pyz6naoW02I7uXBhb2MhIEI0e1paGtRqdRyMKJUwWWy48xd/gq/ThRcefZAxIYkxZOUVY8nF1yMaDWPD6lfB8xGMmzYXhaWTYLalQKPVMQAR8HWivrIcezZ/wkTj3QGIWqNlKVzUl9nmQHtzA8p3f4Hq8j3ocDYxHUdPi2IGXDRaliq28LwrUVtRhs8/eBN+r5tddwKstbe3g9gh0sv0t1EcCJRRLLqDj2SL3TNxwX0igDHQ1ymWJ7r+nl7/urFasGAB5syZA5PJxApDEjA4FeCA+rv22msZ2OypUare2rVrUVZW1t/pM6KOG4lFCOkGDRUAef8fT0DDqaFRaqBVKRBTRSGqJVx94w9xqJLHug3lyJ9UiN2bNwIxDpEUCzRFWVg4eyoWZxix9aXHsGhWLjI0IQgOOyZdeA0efew1NFR1oY0z4OoH7seRFhf2vLUeVWs/hCHihsWowsuvPINv3XgjoqIaYkyDFEcG2ppbYDCpEIOAcIjH1Bl5MGkNqD24G7d+exqMqg6IIT90GiP2lVfCajahznLRiJrf8sXIEZAjMHgRGG4AhDS8tLk8WG1EMyCJoCVrGhIpWQkWJAFIKHWiubl5wLuXRFGRc1Z6RgYsNge+e/+f0eXuwPOPPsB0FYlGVreLLryGMQ6k45g4+2zklYxn7lSu1ibGeBjMVuQWlTIwQu5Yn699g7lhJTey3SXnKkrnIrBBzAuxGlRz5IuP3mZAJMrYk3ijBK+49a+VOWMtWHE5Azy7N69DY/Vhlr7VUFcNZ0sLA2J9CfSTx0LiJGKEKEewL9ajtwX4YE3uk+m3O7BI/r0/P/f3nMkAoz8/DyR+y5YtAwGQ7q2yshIvv/zygO5x9z5uvvlmZqncW6M5ROeh833Tmtfr7Ze+7EyLy1ABkA+feAImrRkmtQ4qZQRKTRRaqx7/dc/v8Oyr2/HR+gqY0jRI13Oora9GOMuMFd+/FdUHyvGrSy/BA7deDZvSjZsuWgRtXgkUhdPw7POfYO+2Clz73z/A/DuuQZs3hMr3tuLJ+x+E4GuGSS3iB9+7Fa1tbXjuxTeg0dtB9ZeorpSEMG68/gbs33cI27avBnglrHoV7r/vfMQiNTCrFYhJCuzYVYYUhxVV+vPPtFstj1eOgByBIYrAcAMglOFA6WCD1b4RAIQtxI9qLXpKy0oGI7SDS2xIf0TqyTeFCmyZr9QAACAASURBVPpNmDIND/79FXR2tOG5P//PVwDI3GUXY/rC5Ti0ZytSM3JgT8tgLEd95UF2HFU8J1G5PS0Ls5ecz8DC1nXvMoteqrBuS0mHq7UFnIqDzZEOvckCd1sziBGZOu8cTJl7DkvfIpesptojx4aWlp2HRRdczUAHWQBbHalMxE5jrKk4iDWvPY+dm9cjejQNqz8TjRAxOVyRJiZhE9eTw1Vi0fx1d/P7M6ave0zy/Ej01X3OdJ9Hyb93/7m38SS7qiWOS05N6/7+iX4/0Tl+8YtfnHDXYvXq1YwJOZk2ceJEXHll/1JKCIT88Y9/7LMI6MmMYzh/hkB8Xw5xw3n8JxrbUAGQtY//ExmONGRarZD4LhjNMdz36wewr8qNx1/cCH/Ajqq6Mvzh/nvw0P/+GkvvuAZzr78UJiWH2L59WPf3h1GQrsTk0gk43OaHPncKnnx6DZrquzBrxbkI2PXo9PrRsPUguIAXMd4FKerGTddehnZnK7Zu24WuoIDMvCLMX3Q2mpsbsW93GSKhGEJRJ5SSGukWI264cQoKciLItGsR9Iaxe8dBxoAc0i85E2+3PGY5AnIEhiACww2AZGdnD2oUvjEAJHlRmcyIJBiQ5GdKSfL5fKxuSH+BCDER+cVj8JcX3kdzQy1+f/dtUMQkVvmb0laWXX4Txk2bAz4SYXqPDe+tYta38VofCaF5vPhMbsk4nH/dHayy+ap//gEpGTkMlKx95Yk4kFIojk0KBRRsd+6cS7+FsVPOwoernmLajkQj5uWsJRcgHA6yiuvOxlqsWfUsqg4fQHtLEzo9HQj4yK2r93oe1B+JkYjxoUf3YoInqtw5nMFHd9DRHXAk5kkCXPT0e3ew0p9va3fGIxlgdP+5OzDpDxjpDYDs2bMHb731Vn+GedwxixcvBj36274O2OnvOYbbcfQ3o7+pnMNt7L2NZ6gAyCdPP4Xc9EwUZqaCE3zQaKPQO2yYs+xKPP7CJlTUhsGpePicDZBUETz6xtNoVgRRW3EYU/QGRCrKoJU60dDcAFdARP6YOXj40RfBSxaYM3MRUauQN2oUqssOwN/ZCbWah0bpx/133wG7WYvtW7fBFwSsmQV4+8PP0NHugkahJiEKOK0IKapAismI0aN5XHV5KfIy9fC2udFc3wKlGMMe7uwz6TbLY5UjIEdgCCMwnAAIrfEotX4w2zcOgCQWk8mLygT46O6YRb+TFqI/QIQqlY8ePwWPPPMOGmqO4J7vXImuTjcDDKSN+MF9v8Pi865gC31Kf9pGxQc7v3SWSl6UUhXz5VfeDKPJiqf++HNMmDEfpdPm4I0n/9QjUKDPUjHCecsvw65NH+GDVU+xcUeiUfC8gJhCiYUrLsWl138Hrz71GFa/+gyrVUKsC42nLyE1AQ/KBUxmPBIOVwmNR/e6HsMVePQEOro7fyUDDZobPQGTxPyhL1AibS3xuZ5AayJNLREX+nLTaz0BDuo72eSgt58TxyY/k0ajtLS0x78b27dvx5o1a07qb8pAAcjXATsnNcAh/hDdf2JPR2LrDYAoFDFwnAS1WoBGy0OrjcJkCrL6HRarHzabHympnfD5DNj6xWS0t9n7HaLNz72INJsFuSlmaBCAXi/BmpaCsTPOwQMPvwRv2AhJAcRCPqhUIlQZJqQVj0KgqxPXLj0HCm87+LAbGk0Ueq0BaWmF+J/f/A1hRQpCkgGxGBVIVYGDAF4QoUQUOl0nPl7zOKxGEUcOHMQjf3kGu8rd0NiKIQpKhLweQKGCSqcCRBUMah2M6jrccccsjMpQoKOpDXazAx53B3aL8/p9rfKBcgTkCBwfAZ1Sh2JDCSZbpuIT18doj7YxM4iR2IYTAElsOA9mnL+RACQR0J4Wmj0xIvRaX4wIAZBxk2fgD0++cRwAofN996e/xvS5i/Dea89i40dr4Olog8lkZKwCLUTJ6pcWpbTYpHSrS2/8HsxWO5798/+wWh/T5i/F0w/fz3QftMBNCMepbxrbnHPOxyXfuhPbNn6Mvzx497E5Q8BApzfgwf97ARarDQ/99+1sfH2BDurgRMAjwXZ0t9Udzg5XJ0qnSgCM7qxYd90Q5X+TTohiTyk20Wi03+5pvX2B6d4TQKVnsgqlmNNc6Al0nCjeycfSuagv0mpQ/mb3Rjqnf//73yelAyHXqxtuuKHff4++aQBkpFrw0g3vDYAQ4MjNa4XN3oW0dDcDHAQ+AgE9eF6FSESDiZOOwOlMxdrVC9DRYev/HHrlTRg1HGx6wKoVoDdIyBiVA7UlE80eBV5dvR4KrQnhQABmnR5BPoS5Z5+NSZMnwtvWAotJg4OVZeB9LbjusguRn52Pvz35MrburUOHTwMlzLBabOARQsjrg8WoRH4Rh3t/eiXsphDEcBgH9rvw0B/fRlRdBJM5FS5nLXR6LTQGAwQ+BpWkglnbijtvn4GCbKBify3cLqC6ugaORbf0+1rlA+UIyBH4agSUCiVS1WlYmXYB0rXpeMP5GmpD1T0CEMoGoeMdagcMnAlGzojaUA1CYtzllAoy0zEapRbpmnTMsM5iwCYSi0Cj0KAx3IDVbW8jLIYhQWLHapVaZGgzMct6FvL0+YhKUWg5LaqDVXi/bQ0iUgQxnDowNJwACK1HSN88mO0bDUDYpOymDUnWiCQzIomfafFJNptkU5uc600AZPqcs/HAX59DY20V7r3jKnS62o/1f8P3foLJM+fhmcd+j4N7tp/QqYpSuYpLJ+JHv3oE+3dtwd9+93MsOf9yfO+eX+MX378eleVlrDBgXF4e3ymnhellN96Ja277Ida9+xr+8Yf7j80ZAjWzFi7DT3/7GD597038/f/dx9y2TgRASN9BaWM08Sh1LLHo7Q46eqrpMRxZjxOlUSXuZ0/3m16jLwbpgRKPgYjzv+4XlmJLIITiT8UcSeyfABnJ96P7a92ByLRp05hVbsKlLDEu0oBQetTJtJ/85CdsXP1p5Ia1ZcuW/hw6Io4ZqRa8fQGQjEwXzpq7H11eI9xuK1qa0hj4oL9QGrUAev/CSz7Dpg3TsHP7BIhi/0WN+19+DRajBjaDAnoND5NRgZhSwKiCMcjOH4eDlU145d218PsFKMBh9qx5KB0/CUpOjaLRhfjnU/9EamYaQq4WZJg1uOKSFbCnpODnDz2KusYIlAoHrBY7vP52qGNBFObYcNWNSzBlRgpSLAK0kgKN9RK+959/g08qhEbvQNjfjgjvg8FsgShIsOqs0EqtuOfuxZBCVXC1BhHkDejy+uDNXTQi5rZ8EXIEhiIC5H43xzYPS1PPRViM4JWWFxio6IkBIfBhVzuwPHUl3LyLrXE2d34Ov/ClGZBaqUa+vpD1GZUiqA/VwcV3MHAx3TITq1peQUO4DmJMZEClyFCM2bY5CIoBdiz1W6QvwQTzRLzW8gqaI03s2FPVhhMAoTWI1Wo9VZfWYz/feACSiEpvQCSxS949VYvqh3g8HgZGpFgMsxYsxf/8+Sm0NNTiZ3deg3Zn07GF/nlX3ICLr70VLz3xZ2z6aPVREPHVe0L1PbJzC/HtH9yDjJw8/OuPv8Le7Z+jdPIM/P7xV7H+/bfwxJ8ejGs2jgIQpUKB/JJS9pkZ85bgXw//Cu+89O9j4ESt0eDn//s4SidNx//e90Ps3rLxWCX1xNkZ62KzsclGj+S0qu4ApPvOfAIEDeosPYnOewIeyWxH93tJv9N9JBcjAh2nE3D0dXkEIhNghCqTEkjsDkR6AiaJe1NYWMgYkeRGOhBiKAbaiFW55ZZbQFbUvTWK5WOPPTas4jjQax3o8TRvBmJfPdD+h/L43hgQjhNZ+hVJ0whcCAIHiep2KGJIz3Bj5QWb0OkxY/262fB6+wdeE9da/sqLUCokGLQSTEYgK8MEk1mNadOmghclQKGGpNSh3ReFI3sMRKUFzz6/CnPnL4TOoMfDf34Y//3j/8YXn3yGlqYDuPHGFZgwehQg6PHe2h34bFsZfMEgLColxhVlYOascbBk6DB9zmgYtAK0Iofm2hB++JO/o6XLDp0+k6VpOT010GiIsVTDyJlgVYdx938tQGF2DBB0aGj3obKyCvW2uUN52+RzyxE4oyMw2jgWC+wLGSNhU9mxquVlOKMtPQIQm9qORY4l6OQ9cEacGGMai/WuT+ATviwpYFKZcEHaxfCLfmzr3MIABa3dplimYmnqcrzhfBUNoXoIMYExKcvTzoeHd2FH5zZ0Cp1sPTfdOhPz7QvxZutraAoTAOm7/lp/b8JwAiC0+UmPwWwyAOkW3RMBkeQd8+6LV3ovGAyhsHQy7nrwL3A21ePnd16D1uaGYwBk2pyz8e0f3IuynV/g9ef+iU5XxzHxOS3qDSYzisdOxHW334XsvEK8/eKTeOflf7MigUazhYGIktJJ+OidV/Dea8+h3dnMChKOHjcZ5191E2bOW4zqigN48k8P4XDZblbEUKlUMDbl4affQdmuLXjgrluYRS+NN5HqQxOMwEeyiLwv0NGTi9NgTtKB9N3T/TsRgKTXacFIIJKAR5xZGv6NQCLds0TRxxMBxgRYJABCoCG5EcB64oknWM2XgTSiZW+//XamBzpRo7ojr7322oD7Hsg4huOxI9WCl2I9UBE6gQ/SZCxctAslo+vxxmtL4XZZGTAZSOta/z60Og52hwHp6UaUlGQizWGA2aCG29WKaDgMTqGFoLMhas5GVJOGXfuqUFXTgJLi0WhvdqLT2Y5ohMeseUWYOMmCsbkmRFwBdLhiCMdM7Pufl2pCfdVBZOVmomBiKZR6NUQqONgZgrM+iJ/e/ze0BkzQ6EbBoNWhvrWMuRZqNUqk6FNhVfO4+fpxUIRrYTHakFpghyBKeLOycCCXKx8rR0COQFIEKP0pR5sDAhfjTRPxmvNltHXTgFCqlFqpwXTLDBQbS/CW83VkarMw1TIdH3V8gC7Be6zHBKvRGnEyYEIbuQbOgPPTLkKqJg1PNjyOiBQ+9nquLo+BGQIsZP1Dx16acQVjR55reoqlZCU2g0/FjRtOAITWF5R9MZhNBiAniO6JhMfdd9ETwIQWe1Sd/I6f/YHV9vjT/T9AdUU5202nVK3UjGxcf8ddTKj+8hN/wY7PP0UkHAYxFJk5uZh3zvm48tvfY4Djg7dewqv/fgzhUJCBBQIEYydOw48e+BNS0jNRX3UYXV4PE0+mZWYjc1Q+6ioP4eUn/4rdX3yGUDDAWAwCKLf/96+w4rLrWCrXtvVr2YSi3XRaSCYWrsnP3X8+UxgPuo3ddRuJe9Nd10N6Diq4SAvGr8t0pFsMMGs1DExq1RyyrAYooTzKT1EBZlpwUW2AGJxeP3zheKFIQYqhuSvwtb7bxIwQGKF0OQKSPaXJ0WtFRUW49dZbjzsXsRT/+Mc/+m2VS8wLaUB6qgNCf0gaGxtZ7Y9TUfDwawVmiD5MwIu0QSOxDRSAkAakqKQRc+ftxfZtE3G4vIAxI7HYlw5+/YlT5PO3oFWJmDNvAkbl25GeZYOSU0Kj0OLw/kp4nJ3w+D3QpObAVjAZOyta0NjuxfTp0+Gw2dDe2oEtm7bCYVRj6pRCTJ1RCDUCEPw+iCEBfEREDBGkpRihVSmh05pgSM2EL0zve+FqciESsuH79zyKLqUDWn0+YiEOXf5DUKk6oCODj7PGwKSMYu7sfGgRhscdhT8ShijFUJ++rD+XKR8jR0COQA8RoP9LdZwes21nYYJpEl53vnIcAFEp1CgyFGGSeQr2+vagNliDfH0+ZtrOwtq21fAmARBK0yLAQqCB+iadyCzbWSCm5QvPJpT59jP2gxqn4I7+Px4/1qyyYI5tLgoNRdjg/gzl/gOnNP2KzjmcAAhtMvaV6fB1J60MQPqIYDIQ6W2RSwt1qt3x3V88An9XJ57986/QVFeFmCQxAEKOVGMnz8YF19wMr8eNj955Fa1NDUjPHoWlF17J9CH1NUfw+cer8e7LTyEY+LKKOgMTKjVKxk3CRdfdirmLV7DdN/qvPBDwYfvGdfjwrZdw5OA+BlqI3dBqdcjJzcfPH/k3rczxr9/fC5837rrVE8joTVA+nBmPgQAPSpmjHX8CHgNtGVYj8lKtyLCaUJRmhVWvQV6Kld1f0tQIkSjEmARJiiXkOVAolVCrNMyFjOlKIlFEojxzJqObx0OJ9rCAxkAY9R4fIqIEd2cXPJ39r0KfuA4ClZQelQAiyawIWen96Ec/6vGSCTA8//zzfYaDwAe5a5GmpKdGjMc3tfp5Ih40t84UFq3PG97tgIEAEE4lwmrx4+LL1zPWY8P6GfB1GQek/UicPs+5BzqtiFE5JqRm6ZGSZUNMwaHLE8GuzWWIdAnQGLUwZxQgwNlR0xZAbskY8EIEMUnEkYoqhEICbNoYZkwdDZtDD7NJDaUQgtfphFZJTA2PzOxUaLUqaAw2hHgloODhdtbAxJlQXyvit399A0fcPMy2PJhUZBzhxMJ5hZgyZiwsuiDKdm3GjEljIIR4+P0KeLxB1NXVITLjioGGWj5ejoAcgaQIEOsw1z4f40wT8FrLVxkQAgn0/orU89ESacaurp2IiGEGEubY52NN29vo5DuPiycrX6CyYK59AWZYZ6ImWIPP3J/AGYmndyWzGnSsVW3DAvvZmGaZjsOBw9joXo+2aOtxx37dGzecAAhpR8kgZzCbDED6Gd2egEhi8ctWkwpgzKRZuPL2HzN7212bPkZbcwPaWxpQeXBPXJBJRQPnLsGsRStZ1XS/zwu1Rgd3uxONtZXY9tmHKNu1FWFWGyQuMk+0+IKSg9lmhyM1HRnZuWxyENvibm+FJPIMaJBwiBqda8zkmbjue/di0wdv4tN3XjzWZ39sXYc76EjEpbt7VU8uZicDPFJMeozNTsH4nDSUZNmRajNBpVQylw0FpWpJ5KgRgyRKkHgeAi9AEETmThaN8vEUOE7F7oNCyTGr0DCBD0FAVBShUCogKDhElCq4ecAfU0DgVNAZjSBDg7Z2F+obmtDU3AK3u/+AiRywCIgkp9XRTsa99957wpm+fv160KO31pu1L31u06ZN+Pjjj/v5bRp5h9G8G2g625kUhf4CELLjtdl8mDHrICZOPoJNG6ajqnIUOjvNEAVuwJfsXfc8rEYVxo0bhdJJuQyAqHRa2hdF1cEGtDd0QFRwUJszUN0Wgc4xChqzBUouhjHFhehoc8Hj9sHnaoFCGca4ScVwNtcgzWJAutGIxtojsFq1yMlNhVKvgi8iIabUQoEo1EIAekmHnVtb8Nm2BuyodsIb9GPe7FLc+7NbEOM74Wpywt/egYi/HRa9Gp72LnS6QlCqVfB4vHCWrBjwNcsfkCMgR+DLCBDAIM1FqWk8VrW89BUGhCx6icHI0+Xjw461TFBOjdytFtgX4e3W1+HhPcelSRGomGmbjXm2BdBxOgYkwlKYsSAH/GUIiaFjA6D/80m0TmJ0rVLHWA8SpW/2bMQhfzn73KlqwwmADHYVdIqZDEBOYuYkgwP6mRbrOYVjce33fwat3sAoPkHgWZHBvVvX472X/sWKBzJbN70eeSXjkT96PBMxtrc2oq7iIJyNNRCFpLocR4sN0g57T62741SyBS79rNFqsfC8KzFv2cV44g/3oqOlkXWTDCy6f6b7+ycRmtP2ke7pVt2BBwEBSrWiugz9ZTyI3ZhXMgpnlWQj3WICp1IgpohBojoHKhU4pRIqhZIBPQUxHVQjhEAHf5QF4UV2Dyn3m91vTsXS4GJKJUTSCfE8eFGEEIsRfgEPBSJQogsq+GNKBKJkM2qEyWyE0WRkwjte4BEIhnCkohoVFVVob3P1K8YERKhaPaVoUeHI++67r9fPEQtCbEhP7dJLL8XUqVN7/fyhQ4fw8ssv92tsI/GgkWzBS/erLwBCQvS8fCemTDsMm92HzMwOpvdobk5D1ZFc7N5ZinC4d+OCnuZFvnMHMjPtcNi10JsUMNq0UGrVCId5NFQ1QSXpoFCZ0NYFtPqARk8IlXV1iEZDWLp4IQpyC7B/30GkOGxQcDwCoQ7Mmj4ReogQfF5E/R7GgKRnWcFzxKZYodaamNDc19EEsUtEVUUQ2/a2ojUowRtqxs9+dh0cNsBqsiLY6cO2DfuRl2WBGAojGhDj31EF1ZDyob7wvJE43eVrkiNw2iJALOTZKUtQYhiNV1te/AoAKTWNwzkp52Jt+xpWHyRuxcuBtBvEmqxpewft0XbmeEWNXLVUChUDGCmaFKRrMtERbWcakyUpS5ntLgGZQ/6D7GcCH2TLS/qQFE0qXNEO9kzHcuDwfvtqVAV7/n/zZAI0nADIYFdBlwHIycyQbp9JABACHjMWrmC6DF6Iwt3agsaaw/B7OyGKX9re9uTOlOiyO7DpL/DoCTiQPmDynMXIzivGR288C1Hgj1m5fuV4JeVEJgrfKY9zyDoFITqlXXTX5nSvYE+/02KQike2tbX1eW6rQYcZRTlYMqEI+SkWlrbBVBsKQMkpQJpZAiEKTsk0FhqKF+WxSzHEiP0QREiCxEAIz4uM4RB42kWNMyBKtQbglKCs0oggIiqJTP/BSyLCogh/VIKHj6GLjyEkiDAnBOZ2Kzu/KFGfBGp4CKIAr7cLlRXV7OH39a0hISZk8uTJePDBB3uNBe1EkB6EdCHJbeXKlZgzZ06fcST9A7lefVMbgV0SM4/U1hcAIcH5zNkHMG58NbPdlWIKrF83C81N6Sz9yu/XQxQHzoBM9u+HKIRgt+hY5XGtSQW1Tg2D0YSQLwKJV7CCgrWtIWw7UI+0/FLMX7wYDpsJzY212LDuM8RiKui1Ouh0HNIyLJD4APSqGEoyM6EUqKaSH/ZUHVIzbNDpzKiorAEf9kOliCAWVaGpIYbtZU7Ud3jwXz/+NlKsbqRlahHw8lCIIt566TPMmF6IqD8Ab0fg2N+Fri4/juQuH6lTQr4uOQKnJQJmlRmLHUtZWlV3AHJ55lVMcE7aDT2nYwyFWqGGRWVFli4bVYEjaI22oiFUx4BCvr6AgYmd3u0MrCQapXKRFe8NOd9m7lhr299jLIqBM2K/b+9xx5YYR+OarG9hg/tTfOpad8riMFwAyOmogi4DkFM2beIddU+b6glQnCiVqycQ0p/h9ZQq1dtryeCj+8/9Od9QHtMb60GMB4EPqtHS1NTUp7g8zWLE5XMm4ZxJxeAIbUgSS51jD0liFqIxDiDCQ8GBpVBRCpxKqYKKkq/EGERegCTGIAkERsC0HZGogFA4Con65GixRDu0KsQ4DrwEBkCigoBgNAJfOILOUAQNHV54glFInBrpGRlIT09DSooDKrUKEkTGmhATRnmpKpWSjYmAUlNjM7Zt2YXmxt6drOiPybp1ff+RpBQicsZKCPMHWvn8oYce6jPuvc0fYlnoQdQvjYVsgk/GKngo5uhItuClePYFQOj7QsLz/IIWLF2+BeUHivHF55OPCc9jMdJBDfzOpFW8g3SHDSadGvYUC9Q6DmqjBpIksO+i1WwDr03BrkMN2F/jwZS556ArFIGSkwBRQHNTC+prG5HpyIDdakZUCDANSKrJCJ0kwmHWoK2tFtNnjkd+bjpa6xuxZ/c+2OxGqNUx+IMKdHpNePHN9RDUKixbMg1nz86F0SpAq7YwF65n/vUmzl4wAULQDzESQzQcQTQYhd8XxJH88wd+0fIn5AjIETgWARJ/L005l4EHqgOS7IJFjlQEUHyCDwHRj4gUBR+LMlAyyTwZjaEG+EQfmsNN+NyzkRUUJGZjk2fDVyJMYMSoMuHmnFvRHGnGG85VjEEhQfr2zq3HHUv1Rm7MuRnVwUq82/b2KbtbwwWAnI4q6DIAOWXTpueOegMkPQGWE73W2zB7SsVKPr6v9wc5BKes+960HgQ+SOdBLky0EOyt5aXZcfWCqZg7Ji8uxidgoQBitMgXJcYy0M/kDc6YDxWlUhE+ERkAUavUjOIl4CFEBYgEQCQCJApEeZGxHLwgIcwLCBNzQesggDEgYV5EIByBPxyEz++HNxhEZzCMoKhEUIix9w2mePGflLQUpKamMCBispiYZoRYrLjnODmj0UPBwFJddS22b9mNluYTMz59aTwSMUtULyfWg9iPgTRiUE5WB7FgwQIsW3a8Y9CZUk2d2A9iQUZq6wuA0HUbjSHMmb8PBYVNWPP2IrS12Qdsu9s9fqmVbyHVYsXogkJwSgWzvQxGAuD5CDgOyM7MAoxW7K5owt6qDqy84iZ0BiMQQLosHpxCjXBIwK7NuzC6sABKDSBEA+B4HsU52VAjir17N2P5+YtgUok4sn8/9DoDtFolOJ0SXQElKqojePy5d2G0m7Fs4Qwg0ITrb7oAGq0aAX8Q69Z+hnlnlUKM+BD2RcBHBIT9URADciBj6UidEvJ1yRE4LRGwqqxYlroCufo8vNxMACQu/qZGGhDF0bRo2qBLiMcLDcVYmXY+3nK+gdZoC9Nt0N+OefYFSNWkMoaDl/hjxxMAIbbjWzk3sToir7a8hEWOc1jV8/Wudccda1PbcF32jWiJNOFN5+unLA7DBYCcjiroMgA5ZdNmYB11BybJn+7tve5n6Q4uegMeAxvh8Dq6J/CRYDzomdJ/iPXozYGoODMFF8+egLMnlUCjUhGFwBirePoZ4loOSnfijwIQpr2RoDwKQCiNjgAIp9ZAqVARYcIAhygCoqSAFFMiwksIRXj4g2F4fAF4/QEEwlFERQk8uaHxIoKRCPyhENN1BKjaeiSKmFoHASqEBZ65nWl1WqYBSc9IR1Z2JjKyMqAn4a1SwZgZhTL+IDaErkHko4hEQmh3tmHnjjLU1zYddwP7C0Dog+RmNXHixAFPgpN1wiIHr7vuuosVWOypnWy/A76Ar/EBSvf7upbOX+P0g/7RvgBIoujgpVd8gtrqHHy2fgYiYbKnHpjtbvcLGRvagbDXB6NKD4WkgFargVqrJl4QHCSolBI4fQwqSwbKG33IHTcbY6bORFfAxwwgeBFwqMurjgAAIABJREFUOLLw2P97FF1uD/KL86DTcFDFYsjPzICnrQmtrdUoHJsNu1UNPQdoOQ3rV2fSwdnO4/2PDuKj9TuRkZ2BGeOLkWGmgrE6jJtUCL8vAq+nDdnpZgjBTuaCpRDUcLm8aGluRU2+rAEZ9Mkpn2BER4AW+8tTz8MoXS4DBlR9PAFAEpa63QNQZCjB+ekX4vWWV5mzVQKYUMHBGdZZrEAhFRzkY2QYA6YLydHlMgCyr2sPVre9zdiScabxWO/+hDEoCXteOpYAzrVZ12NL5xf4qGPtKYv/cAEgp6MKugxATtm0kTsarAgkwEdPWg9a8DU0NLC0qxM10nh8a/F0nD2hCCqOg8VoYM8MwLB0KxL+x+ILedJvMCcrAiFxAMJxpOVQsNfIzYpTaaBQqRnoCPNSnOEgAEIAgo/B4/Ojpr4Jzc42tHa44fYHmesV9UYpKCIUTJBOOfL0IAjEE6DhOCjUaqhU8Tz5aCQCrU4Di82CrJwspKY4WF0Du8MKtVoJKcZDrVHF2RtJZACEjA9iooCmhhZs2rgD3k7fsbCsXr2a1X8ZzDYQJyzSppSWlrJHT3VFksc53FkQmjtkdjCSW18ARKUWMH58Nc67cBNef/VcVFflfG32g+J55XgFnPXNaK1uBh8W4PF0otPbCU4VQ2ZmChxmHfJzjTDa0yFZ87GtvAmZxeOQV1SAmDL+Pe30RrH6lXcYUD9cdRgOuw02owG56ZlQxiIor9iJ+355N4x2QKMFeF8YEMJwuT2orfPh8cffh8cbg96owtSxxUjRc8gvsaBgjBXVR1owbWoRAp0exCJdQFSA18WjoYHSQEU0FF4wkqeFfG1yBAY9AgkAQgzIqpZX0Biu77ESevJAigzFWJF2PgMgJE5PABDSf1yYfjEDE194NqM92kqydab/IJcrsub9uONDpvvI1uUwe9+QFMQWz2ZWNZ1E6QX6Iua8ZVAa8EHHe8wJ61S14QJATkcVdBmAnKpZI/czKBE4EfhIpFzV1NSwGisnaiuml+Kq+VNAIITjlMzFymw0MjtdWhxE+Qir2UFaC1rwR3meARMCH7SoJ2tjJTlgMUG5krlaKTjafeVAUnU+Rg4ZMfhDUbi7Amh1dcHZ4UZjSxs6fUHGfoT4eBoWM+2lPHgFgQ5iXUhgQj8rIRKIUBIA4RjLQkcTmCBmRq1Rw0iuWEY9jAY9e7bZzHCk2GC3WWEwkFMHmOsPHw2z6+CUBKgk7Ni+H3t2HWLXRA5VpK0YzNaXE1YCdCR0Hv0dy0CATX/7PJXHjXQHLIpVbwBEqZRgMISx8oLPodeH8d7qhXB12E5JiC+broO33YUN760DF5VgN1ug16lhthigN2lhMtMD0OqMUGgcKK/uQE1rCJ6oArPnn438gjy0tjrx4nMvIBAMM4axsbEZagUwa/okKLko5i+YgSXnLgSnjiLQ5YLAR8CHebS3+bHl8yNYv64MgUAUGk0MJfmZqKsoxzlL52LG7GKU7d+G81bOQdgbgKulHR3OVigkFfy+MNOIlaUtOCVxkDuRI/BNjQCBgqWpy5ko/HXnKtSFaiGR6LKXRoL1sx1L8E7rm/DwX25QkkB9gnkilqWuRFgKISD4WSq2TeVg2pCNns+wx7uTVT4nxyyqpr7IsQRBMYiAGGAAxKF2sDTsDa5PGVCh109VGy4A5HRUQZcByKmaNXI/pzwC3cEHLaITD2I8iPk4UcpVSXYavrNiLooyHPHaHQQgFAoGQExUZ0OhZIxGKBxmtATlO1L+PoEZdt6jgnRaiChZmociXpBHybGaAyJjLNSQOA3c/hCaOzyobmhGQ6sLzg4P3F4/eGJF6DhKFCHgQd5aMfLXIlctZhbIAAY16agQRaHijjmVEYAgdoa0KJTiSkyMih5qDikpdowalY283GzYbRZo1FRhWgDPhxEOBch0K65bEQQmhN2wYQf+8PtHBh2A9OSERRbAlM5FD/q5t0b3gOyDkxtpekhb0pe255RPwAF0GAgE+m31PIBuh9WhvQEQtUZATk4bzrtwI/btGYNdO8YjFOrdcpdqhIwtrcP+vaNRcTj/hNd67dkOqKUYyrbuQmdjM+x6AzQcoNJzUOvV0Bo0MDj04BRKmLQp2LLtMMrr/ajuiKDdG8SY0mJI0S7c88u70ekLobq6Hm+/9jaIaCwszsLSc+ahaHQ+++7oVQqEA10QpQhCIR57d9Vh46dlaG3ywdnSgqnTS6GUAnA2NqAwvxCzZo5BNFKNsxdMgrfDi/ZGD9ztHfC6XfB1BqBSadE49uKTvo+l48czU4rD5eVodcaNJopHj0bOqFGoOnIETY1xa/X8ggLkFxaitqYG9bW1J30++YNyBIZbBOj/ajNHAORcjDWWMovc6mAVq8MROWqt29OYC/SFmGOfh/fb1sArfOnsSP/zErAgNuUs61xWYJD+G6ZaIdu8W1EfqmXsCKV4JY4lxuMs2xyYVGZ2KjfvxrbOL9AYbjh27KmK23ABIKejCroMQE7VrJH7OaURIBBA4CLxnAw+SOTcW7rLJXMm4aalsxnYIOaCaTyOOpQREDEZjCBXKOqfhOvUN4ELsqGlnWzaDaH3KB2LhK5qqqlCK3pKlZJiiEgKKHUGKHQGQKPDoep6HDhSjT2HKuEJRhDkYxBjHGIKFUsBoWeAY+CDmQARG5LIx2KviMwlS6nioFQRWCIWJI5MKEWMdClEHysUcWcuIki0xIoY9Jg4aRyyMtOg1XBxjQgXQyRMtqJRViTRaNAxpifMR3He0qtgs9lP6X3qqTNywkqADkqv6gt0JPog9uStt95ilr+JlCwyFSD2g+7NcG5UZ4ZAyEhuvQEQYj9mzDqA0nG1eOetxehot/VpuTt12mFMm1GOTRun4UgvAOTquUZY9SZ4WlpRU1YOZTQKTiHBYjVBY1RDbVAhHAvCqDfCbs7Bu+9twb4jLrgiOhypa8KyFUsRDneiYHQO/vNH/wmD3gzOZEawrQWSEISCI1MHEeFwBC31zWhvdsLn96C2th4b1u+ESuFAc70bXZ0uZGZZMLokD7u37cD0KVPh6qjCrbcuh9UsQgyLiIWV8LpccLlaIUYp2VKJ/WnHGyv0d55MnDwZo/LysHPbNrQftRQfU1qK4pIS7N29G81Nca1XQVERxo0fj4MHDqCupqa/3cvHyREY9hEgsEDaj/PSLkSGNoPV9HBFXdju3YIjgYoTjp8cs86yzcUH7e/BK/S/kO9QB2S4AJDTUQVdBiBDPdvk8x8Xgd7ABwnNT1Tbw6DV4K7LlmDW2HyoOS5urctE5nF9R6JptVqoKJVKoUAwFGRAgwAJ6UlEpvuIO14xLQgfJZ4CHOsFEGIKRGNKiCo1ggLQGY7iQGUNDtU2oLKhBSGJqpurAU6DGD0nwAerLMIKirCHIsbqlB1lQKjcoASQq5WKQBPHtCbUKA2MARBmwUsAhAocSizlinQso3IzkZWVjoyMFDhsVuh0KpaKRcepiS1hInUqZihh8YLzkOJIH/QZR0zFQLUm9BmqITLcgcaJgkfMTzQaHfTYDuUJegMgpP+Yv2APDMYwPlo7F6JI8+5L8Tl9FWlOknMbmSfw0Z7NBnq6vpsXWcFJCgTcnehoaIQQDDJGUsHFGK7ntApoTYBeZ4JK5cDGzyuweVcdJG06mlydKC4dg7qaClx6zUpMnDwBs2bOYhsPBoMGWk18c6K1qQXtbW5sWLcZ1ZVVcDqbWb0dqyUNDXUutDtdSLWbMHPmOHhc7Th0oALnLlmCNuchXHjRFGRlqCEFeXAxDbxuD1Qc2XKLTJu23XjOUN42+dxyBM7oCKgUauTocphwnGMFBAPMJrc2WMM0GcmN2BL6R/9XU9oWgZCKwGFEpHDc1ZIpMYd3Gy4A5HRUQZcByPCei9+40fWWdlVXV3dCsTmlXN191TJkOqxQHdV6sFodR5mUeF2PeDipmCC5LdGDFrwEPAiAHDt3jNiPo+leVJlejNf4iCmUkBRK5r3jDUfR4u5CrbMNRxqb0UhpV4EwBBK9ks8nPXoCHwzO0J9IAjXxFCx68EIYEshli7QmlIZ1NFVLIrF6vD5J/I8nPSj3lehhQKdVITXNjsLiPORkZcBmM5HEHRqNCmoVCefJ4YPYpBjmz1mGtJSMYTmnnn76adSewakjxMr15sA2LIM+wEH1JUIfYHf9Pnx5gQcS1dfxBWDSaOHzdEIke121AjqdGkarEUarEgqVFqJgxb6DbXjptfXQmrMQFGPIyc+DyW5Ck7MGxWNLkJWZDUeKHfPnzYJGrURrsxPvr/kY1RX1aCMba1Fimiub3Y7W5g40NrRCKUkYP6YAGjUPv9+HpsZWlBaVoKmxDN+++Wzk5xioyijUCi0bW0eHE+FACNGIgL2OFf2+VvlAOQJyBL7ZERguAOR0VEGXAcg3e64Pq6vvCXwQOKAHLU4pzaWntnBiCf7z0kXQqGnRrWLMQIL9iNECPsnlij5P5yHwQYV2aNeaFo4ESuhB70VIiM7YEHLIUiAaFcFHJai0WggxJQIRAZUNTThU24iDtQ3wRaMIE5jQGBAFB57crZiqnFiMo8xHvLY6+53ABT0IIJEuhUAHARBREpg25MtGfcStsxj4IMqEpWIdfSYQIpETlhJGswGl40ajsDAXaak2phUhXy7abSYxO+ldFpy1FKnDEICQPfBALIKH1aRlbJl00rVPhtu19DaeoQIgc0wVLG3S3daBYJcfKXYHhGgUKrUSaq0KNgcVJxQQ4/RQqNLx7PMfoKbeh4ighsmRgsbWZtz5H9/Dp5vWw2i2gOcl6Aw6LF+xFG5XG2MkN366BT53CFKUUhcFdPn9zD3L4/ZAIQJWoxZ6NZDq0LNNi+YWNzJT0xD212Pl8lLMmp4PjYJD0BtGV5cHnAKI+AW43V4czJIByJk0z+WxyhEYyggMBwByuqqgywBkKGeafO5jEeiN+aisrITP96WdbHLYrlw4HdctnsGsa9Wk+SDwwVKY4mlO8RQmEnOT8CJuxEcpSRwXByAEbujcBD7IJYuOJWG6QBXOJSpEyIEXmLMm03N0+kNoaXfhYGUNqhpb0OByM0F6TKUFtAYIMUCgooSgFJMk8MEYDarhQcAg/k/J0sJokIyjOPqIW/XGU8aSwMhRIUucMaH3JBKIAORhHhOgUIjIK8xFUVEeSkoKYNBrmVUvCdepYrTARzFjylxkZ+YOq1lHGg+qvH4mN1qQ9mYDfSZfW/LYhwqATBS2gFOqWPqFSW8C2UMG/T6WXsiplNDq1FDrJWhNaTh4xIO1H+yAIOiRmpLJwEfZkUOYctZ0TJo8DYEgD14Cmlqc4EUevEh6EgWEsESuu4hFQzCb9HC2u+Hzh6Ehu+1oBAZ1DHmZKQh4O+IW3NAg2OWDRRfEuUtHY8FZoxHo6oIUVSASDkIZU6C10YOWllY0jbt8pEwB+TrkCMgRGOQIDAcAcrqqoMsAZJAnk9x93xE42bSr285fiIvPmsSW6ZQTzvI/6ZlqdXBxNiO5dkhCB5IAHPQlY5a7sRgDLgRC6Hd/MMBSsBgQUKpZgcCoxMEXElDf3IrDVTU4XF2HNm8XQjEyxtJCVGjAk18W4RwCGwRImI7jKPNBrxHbwcx4icyggiDEsJDQXgJHBfiIgSFcwU5McSO0EXfMos8y8EIidJKSMJcuHmR/SiAkxodgMBuQlZOBCRP/P3vvAWZXWp4JvifffG/lHFXKpVIOneh248bGNjgQZgxmbTzjNMaGHQx4HYad8XgZY3t38GJ7xuDGgNk1Y4awgIGmgzqqpVYrS6WqkkqhVDndfPI5+3zfuVdd6lbT3dCq6iqdH+5Tpa5b95zznVD/+39v2ISmxjqkknEoZBfku2wrSrz3RDyJ9tZOtLd2IZOufeWTcwvfQRN3crfKZl9wKLmFm7tlH036lXw+f8s+/43ywSsFQDblDyIeTSCaSKBc0uH5QCwW5Xs9GomwGUM0rcJXkvju90/iylgRpbyNbf1bcPzkUTiSjY07BmA5LurqmtHc3ouuvvWczVMsFzExPga9WOKMkYaaDHzHxle/9h3MzheQTmVgGyX4egmbe9tQyi2w5bbuiSjMzqOzWcMvv/dN6GjRIHg+CotF5At55BdzyM9ZKJd1jG/52TfKKQz3I6xAWIE3eAXeCABkuVLQQwDyBr8Y1/ruLU04X+p0Rd+/nOCcaFYf+IUHcO/AemhiMMUPJuxB14C6IQQmaFTT0l/Mz6fJfFX3wVN9+rdMdrk+2/HyfhEZw5dg+Arypo+h0asYHr2Ci6NXkS0ZMIkVpRAtS2JxOv2bJkfkfyuQCL0ihqtYXjGYYDhS/cp2WCSQp1+RudsSCHerrwCEBFreoBvCDC1u7dCLAIwFiRKbIzJsW4eqimhorEPf+l70dHegri7DHRBalSVHr4DCRc0TH/F4Am0tnWhqaEVTw63NB7nZdbwa0s1fzf23uLjI18xaHysFQPpmH0IimUYqUwPH9WFZNmQK7JRExKJRpl5C8SFotXji0AiGR2ZhFC201KexmJvAPW95E7bsGsDV8SswLR+eGEW6oQ2p2jrs2D2AaFzlLsf5c+dw8rljOH7kBE6cvoBIlOw5ZazraodbKiA/PYlUVMVsNoe85cIpmWjK+Pid3/wpRJUSzEIRhu5idm6GOyB63kc+V8DE1hCArPV7Izy+sAKvVwXeCABkuVLQQwDyel014ee85gosBR9se1vJ+SBa1MtZ7aqKgg+97+ewp6cVCUWESnZQRJXizIxgcl3tZtAOVT+32v1gi13y9+ZMEAoCrOw2GerQRIYSyCtuRq4PFE0Xs0UbY/NFnDg3gktXJzAztxBY7LLblcKUKzLc9CmckPQfTLWS+CtvlwOTAu0Gx31wMyRw5wr+T20UEq0rDFqqGpEAUgXuW0tMvBiABPnp1OGxIcs+olEVhlGE6xicb9Dd04m+Db3YvGk9b183SpDo94JGDGwroJ7RP2hCR9CovqYRyWgau3btYnrarRxv9GTz13Ls5MpG1+xaHysFQFou/wuHb9Y3NyBVk4FjuygWy3y/R1SF7aeluIj5rIRT56bx1DOn2Y2qp6MVheIYfuU33o1NO7aAYnzGro3juZNDaGzvQ6ahA8n6enR2dcA1dXz/X76FJw8+BlGIor1zCzI1GURkEQtTc8iOX8PM2GXYBQuGJ8FSJBjZPOKKid/+tbdBcGaQX5iDWXagyBFYuoN8tgRdNzGzIwQga/3eCI8vrMDrVYE3AgBZrhT0EIC8XldN+DmvuQIvpkgFNrgu5ufnQY5XNxt/+KF/i4HORmimgZgscpoxzc7JPpdAyFI6FYEM1n9UqE70b+qMOK7DE+8XAxXKAgl+TnCCdB8epnJFDF6dwamLEzg9dBnzuTxngWhqjIhfsGwPBFQEUYGmRuF6Pr+IisVUKoIPNPFn6lQVgBAQqGScEE2MgwYjgKgxcAleARChjkqQoP6CjfB1IToxs0RKafdB2Im6IY5dhlHIIVWTRFdvF+69924osojtm/uZlja3MI3JmXHYlgnHDbJOHAZ/AV2tkCvhoW8/jG3923D33Xfz67Va6r7ShUCWtUS9WguTdjovPyiT5pVqsZp+vlIAJHnu/0NDcw3qGzJI16SgGybyuTKbPPiOg7q6NLSMhkPPXcWVMR1Dw2NQ5RRsw8S6vgTe8ytvxo4925muSFS5ybk8hq/Mon/3vRAiGZi2g/FLF5CbvoaI6kOJ1GJsPAfdWoBnFXH1zCgivo+W2iROHL4Iw49CzcRRzi3ALc3hl97xACR/AVZ5AYJLN2IUxbwJ2zE52HRh38+tptMc7mtYgbACK1iBNwIAWa4U9BCArOCFdjtveqnuYyn1isLchoeHb2pp+sn/4+PYta4VhekJiGYJMVGCHER9wHdJNB5M6sWKDW8AQNzAwpaaDDxhJ8cpWq0mqpbC2gua2tu2A0lW2AKXVlYJRBR1A5cmZ/HsmREcPjeKvOHBJt03AwKRNeAOqc4ZLATZHUFeB3U55GA/JBGKInN6OYlmCYSwKNy1YJkmd1to26IcgyARAKF8EurMBK2KQJBepV9RZ6Vi3VvpopDDFdnyUu4AdUNIkC4KLmRVQk1tGv1bt6B/80b81I8/cP1yI1ewmblpjE+O4drEGEp66TrAsS0XczNzeOjbj1zvBO3YseM6GCFv8B9lEOggy10Sn6+FQcGVs7Oza+FQXvEYVgqARE5+Fel0Eu1dTYjGYyiWdOSzOoyShdqaNDKZJNJNtfjClx5BvqxiZiEPXXeQjscwsLMBP/7WbRjY1Q9J0WBadO1nkaxtQSzdgkiyBvlsDt/4H/8Ip7iApvp61NS2wIWGklGAXdIxdmEMdnEem7f04Z++9DDyugolqqIwN4O3vGk3slNXcfe+bvhWAdnFInKLBJCKsGwdmUwauQP/+hVrG74hrEBYgbACVIE3AgBZrhT0EICE1/yKVKAKFpbSrmhySmnYtGr44vG/fvAD+OiHfgMjx48iP3UNvllGhLoY9MZKTgZ/5hJLXRZrk8ai4oAVUJfI5j/QinAeiKLBEwReBRVEmTsZkGQUimVMzM7hxOAIjg6O4tzVKQiRFARJYdtO6rhUPzYWi4NEW6oWYV46AQ4tEoWmqfyKxqKIaBoUVeYQQXKkMkydk7MNXYdpWMgXDBRLJgzDug5mCIQE26HuSaBrqeaDMI1LFGCZBnzf5cwPEpoTACH3K8IvkYiKxsYG/PJ734079u5+2fM8Oz+NsYkxXBm7jMXsAueezM7O4/vffoQ7UkvHhg0b8Pa3v51pWj+MT/h3v/tdPPvssytyzd2KjdI5fDl76FuxvZX8zJUCIPKR/4FoMoLmlgamRVmGh7nZHGzbZQ0IOb75soLvPXIaFhKYms+ioBeRjkXwy7/yAOpbPWzfPQDLE2G7HhQlwsYSvhhDc3s3Lg6fR3F+Aq2ZKASfOqACZFWGCBULU2V89m8+i3vv347NA5vwn/7kQSxmFQ4ZlDwdb9qzFW5pCpv7GmEWs3BMsr2WOMRQlm2kUklc3vi2lTxt4bbDCoQVWEUVeCMAkOUKIQwByCq6MNfKri6lXi0FIC8XNPje9/wiPvWXnwAcHSMnjiI3NQ5YJiTfhUi2UUSxqtCsgsDBwDFK5mwPgWlKQsVtivQfrP3wBaYgyVqE9RwmdTN8Eb6kQokkcHV8EqfOncdDTzyFa/NFlD0ZQizJAnPalkBggAGBgNbWFjQ1NaKhvgHJFNmEJpBMpRBPxJBIxJFOpxGLxUAJ7NR9MEyDwQdZC5dLZRi6gVPHz2B46CKmJqfYPYu7MaIIy7R5oqWoCndYmJZVOUbqqATJ4UQJU2CVCnAsAm8eFFWFpEisL/nbT/0pers7X9Xlk8tnMXr5Aianp/DsM8/iiceeesnv0XFs2rQJjY2NGBgYQH9/P3p6el7x8ynLhbofa2mQgxe5i90OY6UAiPfUFxBPxdHW3srhgLblY+zqNN8XdI9HNAVasgbfefg4dDcKRxBQKpdhGSW89ad34qffvg8d3R3IFhZgezbSNbWorW9F2QbkaIItfQW7ALecA7U4LdeErAAxpRanD1/FFx78PH73w+9FbXMD/uCPP4PxcReubaEmKqK3KYldm9tRzk5B9B14NlEqybrbQjJOCxUOxre9+3a4PMJjDCsQVuB1qMBKAxCa07S0tLwOR/LqPoLmMMJ99923lGT+6n4zfFdYgddYgZtRr6jzQTSWsbGxl3za/v378M1vfBVRVYJnljF8/AgWJq7B0UssQCcAUqVfcQekot9gACIRSCAwQjIMomERf8qDLCncvbAcoj5pgKTCFRXY5HjlCBw0eHpwGMdOn8OpoRHkLR+OHINPFKtKRoeoKGhoakTful50dXehubkJmXQKqTQBjzhUTWHQoCrUBdECupdEmg7Sq5Atrg3HqQAn18P42CQujozizKkzuDI2hvmFhcq2Amct6oRQF4QCFCORKP9b18uwDQOe63DwGZG/SAdDB0f0LwIwBHj+6i8/jq2b17/GMwVOfD5x8iS+8s9fAYnGl47a2lp0dXXx/pCWhlwztm7dii1btqCvr4//+9JBVrWk+6Cva2nQdUs0rNthrBQAkY5+ma/rxuZGKKoGw/Dg2hKK+RKiERnpdApCJILHnx7C5ckctFSSg0Pzi4toaZbxtrffhd2790BU80hlIqhrbER9Ywd8LQlLJBqmBMfMIztzDXMzM9DtRdSkI6hL9OK//skXMDV2BX/4H34Lw6OX8df/7VuYnhH4OVMfF9C/rgGddVE45SzMchmO5ULRoohEVXgeidDLyB/4ldvh8giPMaxAWIHXoQIrDUBIC9vQ0PA6HMmr+4gQgLy6OoXveh0qcDPq1cvpPugmePih76K7qx2aIsI1Shh8/gjmr12FrRehksaCJt1V/Qd3QjzeS0oYlzgTpGJdSxNzEADxGYAQDYsSzwVRhSBrENQobCjI6zbGpufx7NHjOH76HKazeZigjIEYXKZzBTQuLRHH+o0bcPfdd6Kji9LH6xCLRpDOpJly5cOtpKtXgxFFDh9kx6tKzAeL4okKBgHFQhmT41MYHDyPkydPYuTiReRzeVi2A9txYZQN/jyieSWTKQYnNLmhSY9t6HBME4KqQpAkDigMPpuGD1WTcdcdu/Gmu/dgx0A/EnES0L+2QcDhqaee4teRI0dYH9LR0cEPqioIqYr66QG2fv167pLQi+hp1PmgDshaGrdLAnr1nK0UADEe/0eYloma2lpIqoJSwYbnCVAkDYl4BJGIBDEawZOHhjCVtRDLpKGXbTi6jUTEQjLp4d6778Oefe3IZGQ0trZB1OLQfQl1bd2IJRPwfBO5uUlkF2dh2lmQCZwmtOKjv/1/oqctg3e/+yfw1DPH8dAjp5HPCzBNCzGxhP3butCa0SCYZcxNTnMGUKa2FrpZhucGGi/n/n+zli778FjCCoQVuIUVWGniTmAcAAAgAElEQVQAEo1GUVNTcwuP8MaPDgHIspX69t7Qy1GvhoaGbkpj+fI//RPe8ub7g6Rj0YejF3D++SOYG78Ks5iHSsJuFnW8QMGqahboPxMAoc5AkD5OmRvcI+BOAukqbMdjugRlecjRJDxJw3xex+nzI3j80GGcHByCL2iwBAUWJZtLMgMY0QfqWpqwfecOvPn+H0N9Qx0SyTh3XJLpFOs+LNsMNCayDMotock5UbaCZMGKNqXibCX4AtviOvSyXZw+ewanTp/G2bODmJqaxsLiIsximbNCNApdi8QRjcYQiWgoFgooZLMoLixA0DSIslyx6CUhvMgOWCR6p+5PIqGgpbUBe3YPYOfAALo7OpFMJF/zRUmTKgIhzzzzDHeuaCL+YhBCNa8O4pOSrfJaG1QHcvS6XcZKAZCZb30RHlzYtgVJVqGocQge0RRlxGMqYnEVkqbiqSPDyFoIAEjRgOJK6O2uRTrqYXpyAevXpXDPPTtRW1cHUY1gbG4BmaY29G1ch1hMhW+X2Ep3MT+DfLmMTGojfvvX/wAf+K3/BVOTV/Dtbz0FQUpjLmsiHo1B83O4a0cPNKeIqCDA1i0k0xks5BagmzoM02INWuztv3m7XCLhcYYVCCvwI1ZgpQHIclrwUqlCAPIjXjDhr79yBV4r9ep3f/eD+KM/+AMWmKokCPVt2OU8Bo89h7nxMdilAlRZhEzggpyuKm5X1WRzBiBsu1uhYAWz/uvBf4FBrgDbF+BLGiQtDl+OYnqxgMPHTuKZo8cwdPEylGiaxauGB8iRCOtHVFnG5m1bsWPnDuzZvQuxeBRaROP/HovHoEZUBjsvpLKTgJwtuLgLwuGC1UR0/i8kIHeZVkX7ODY+wXkFk5NTmJyaxsTEBK5cuoxCochdmGSSnH8yqMnUsAB6fm4OsxOTvNpKdWDAJZIDlwRNU3ji5jgmYjEJTc116OxqQ0NDLZKpOOpra9Fc38Dp6HU1da98Im/yjgsXLuDcuXNsIEA2p4FYPtDhrOVxuySgr3QH5OyDfwdFI8AhBXk7vgRNiQfaD1WAqokQNBWHj19C0RORqElwx7AxUQvZz6G3PQNNTiG3cA3ppIK2tlamT164OobZxRz23bEDmZSGdFyBJsoo6QYWdBsHnxrB3HwZd9zVjy988Wuoz3RAiyYwOTsHRVYQ8bLY398OobSAqC8hnciwo1zZ1qFbZMMbBIumfv79a/k2CI8trEBYgdexAisNQKj7QV2Q5RohAFmuSt/G21na/ajmfRB3/uzZsy/Jg9i/fz++9rVvIB6LsriagvUE14RdyuP00cOYnxxnPYhKHQZOFa9kfVSCDFkHwdF6QmC9S++pzoXJYpdseQmcSHKQXi4qENQYPDGCazMLOPj0YRw/M4grk9PQoml+j+lSPkAEkWgU6VQad959JwYG+rGupxsyaT1UmgypUDWVv1dopxn8BAAjCDysfM87V6FfESgRBbgOARACUj6KpTKKZRKnm5ifX8D4xCRP8AmQ5PMF7n7QQ6K+voEByOzMLCbGJ7AwNYlyoQBQF4QE+JKEiKZyAjo5ZEUrAKS9owWNjXVIpROIRjWmbFGHRFM1tLe0o62lA82NrT/U1UqZGIODgwxGpqen1zQIWVhYqJgA/FClWnW/tFIdkKtf+WeUdR226/I9KwpkyEAuVUBEExCNqYjW1uLI8Qus14okFTiOgR+/8z488fC3sXfHRvg2+V45iKnUgXS5e7JhSz8OPvkkGpvr0FSfBOwyEtEMiqaDeQIgT5zG9u17cGroFGvItmzcgzMXL8D1VejlItprJBzY2g6UFxETVZimi5KucyCoJwowHQmO7aPxX/3qqjvX4Q6HFQgrsDIVWGkAQrRqolEv1wgByHJV+jbdzou7H1UAcvXq1ZdQWEiw/c1vfgt79u5l61pVlrjDQQCEbC6PPfsUFqcnQTnjqkhRgDStJ/F5IECn3I8giyPQatAkJQAhQe+hCoTop2SpS8DCoewNNQrdFnFxbArfeeQgLl65hrlskfUhjiDCqWRx1NbWoaunB/fedy82btyAhvpaRKIa06EiWiTI/qDODAEQ7rIs7brwVhkQUTdEYpcuAgpi0AGh0ER2CA6CBymh3DBMBiQERCYnpjA+PsFdBlXVQEJwWoXPLmYxOzOHcyeOY3J8HKKqchZJkPYuwnNs+L6NeErjyVZ7ezMaG+uRrgAQn7tHFAJJFr4yZJ7kyahJ16KjtQMdHV2Bc9hrHERP+vSnP/0af2v1vJ1oZUQ/u13GSgGQ8//P50HZoaT7cB0yWgiAPV2SqVQcGgm+FRFnhyZg+wqkqAzLLeLAnr04/uwJtNSkUZuRsKmnAVGZDPRMGLaL8ekFFCygpbUDpUIBZolc6QyUyMVKkbAwPo6ull5cGp9GR3sKLY1JjFwrYr4swrEK6Mko2NZVB80j+2wbpiuAc3lcm+8nT44inzfR+UthB+R2uUfC4wwr8KNWYKUByHJa8FKtQgDyo14x4e//wArcTHhOE+eRkZGXTODe//5fxZ998s9Z0K0qCk+gBc+G4JjQ8wt46tHvIzs3gwT9XAQnoYs03a5QsGhbPCmsdEEYhFQaENUmCE30aRLjCSIMN+iAiJE45nM6zo5cxrcfehRT8zl2w3J9EYKi8qSeuhNkN7tnzx7s3LUTHR1tbLNLAIR0H0TLEKUq9YjSzavAhyhRlRDBm1SKsA1BE6Jg2Y4NVVXZNYs6IiRCJyBimjYWFhZZc0FdELIR1rQIdF1HsVBkwfrjjz6KkaHznMx+PTmdhfNEy3IRiUlobqlHV3c7mpsaGIDQvrsOJahbsCyTVz4YgIgSSsUyZFHBju07MdC/HfF4AjPT0696dYQeLJ/4xCfWZBeEzg11eG6nsVIA5NQ/fIZTzwEJum7yrU3ZO4JImR4yIHosQh++Og1RTMCVfagRAI4Hq2ijs6EemqKjrUFDd2sDPMfhe35sah7js3nYlPshCPBIYyIqcNQopnKLaEgmoPkRXFvIoqstg4hiY6Yg4tq8DdcuoC3uY/e6Zki2jly+CNsPFhMUdqMTMD5XhK572POhD95Ol0l4rGEFwgr8CBVYSQBCC6I/atjwaz30EIC81oqF73/VFVja/ah2Pujr6OjoSwLcqPV35LnnkcnUIBqhCX1FUE3Ln46JUnYO3/nm15Cfn0NTfS00WWIQQk5YTCNyvUoHhCYAQQekklteUV6w/psBCsktXF+oABAVSiyJyxOzOH5mCN95+HHkDRuuIMOyPdZ+kPhblBXs2LEdP37//WxBW1NbwxoLeslKMGmXWPVOu0PBhtSBkJgKRUCKNBnVcYMgn7JJZBmu70Ev60GooaqxZIVqRXkl9KG6YaBULLG41bEdXg3WdYPDDClL5Fvf+haOHzuGcjFINudt8O+SHoW24aG1vRF9fT1oaWlEOpWAGpHhWJTKbsA0dd5HBiGyCr2kQ5U1BiA7d+zC+r4NKJV0fOhDv4tMOs3p6J2dL58vcvz4cXz9619fkwCEHppEwbqdxkoBkNupxuGxhhUIK3B7V6AKQOhvcfW1XLpKYqBQCvpyjhCALGe1b7NtVSfaSwMHKYBveHj4JZX49Kf/Gr/4nvcEE3BFYStd1m54DuBayC/M4stf+AcUFufR09WOuKYhIpMVLwk5AuoVTbirk2+hIjoPuiHV/gdpQDwGHx4EGMSY4A5IAmeGR3H01Dk8feQ4DI/aKxHYrk/NBiiaio6uTuzbtw9vuvtuFoFHoxFQGCCJYynjg8CGrAQPDQ4/rGg/lupAOJOEjvy6QDuI35EUXjdlyhUBFwIzTC4jsMQgglLRXVgOZYgEbln0KpXKMA0TruPge9/9Ho4cPozxK2NM52Kxux9Q1CBSF8RCR1crtmzZgOaWRiQSMRAmokwS0omQcxcFu1EHhAAIhSBGtSgGBnZg1/bdWN+3nu1HySb4J97yACfW02oJAZH777+fM0CWji9/+cus8VmLgnSiwa21TJNXejSRYQH9cbpOYySAy3TH4JoOg6ReqYLhz8MKhBUIK/DyFaDnKHXWp2dnr4OPqr39cvwdpTwvCk5ezhECkOWs9m20rZtpP16u+0GT10cfO8iJ4URBEgWxAkBoIk8Aw0ZubgZ//7efRmFhHps29iETjyFCE37frSSdVyZETLHyIbDVVeAsxYPzN3wOAPRJHSIr0C0fli/CkzUcOXEWR08N4szQKGwSuqpRpmlRenokFsEddx5g56stmzYjSvvJXY/AaYseEiQ+J+0HgRFasQh24IXB0o/ABIvHC5CIAtZfcI0i8OASj4q7NZVjoo5GxWCXEqBdBiAO06SIokVg54knnsDhZ5/F2ZNnuHPCSe0EtFhkbkOQHPT0tqN/22Y0NdezAJ3ySqoaEMe1g/wUgY5Bhm06iEZiGBjYjp3bd2Hjhk2wTItpX7//sY/hwQf//objo2T0n/3Zn8X27dv5HH7pS1/iCWp19WYtXfqkbyHXsdtp3MzJrkqvvJ3qEB5rWIGwAmEFbmUFWBtaYU1Uv18OAELgg0DIco4QgCxntW+jbb3Y+YomxbRqTLkfLx6f/ezf4+d/4RcQjUQgkwODH4QJcp+C5/IuFmen8dd/+Unk5mexbcsm1NekEY8oEInuRCCjov9g/UOFgkSfQz+raiKY1mQ7IAUrZQHotgedqEyugCeePYbnzwxhfHYRLgEQJQJflpnXXVObxtve9jMcPliTyVTSzaVA6C4InHoei0Uq4YMESkj+Hpj9MthgW9rAgJeBBcEJ3q8XEswJuFD3h8MHbYcn7wEAIdBEgII6KzInb7Nrlu2iWCzz9xSueOzYMRw5fASHnnqG38P7wMJdsue1IKk+etd1YtvAZtQ3BPQx17ODwEIGSx7vUyDXF2/sgOzcjU3rN/F+0QPj6pUroJR66oIsHa2trdwVoVyQajYIC4a5Hmtn3G4CdDpzVQBCXwPHtoreqvKztXN2wyMJKxBWIKzAylSgCjTYREYiC/8AjCyHrT11uImGtZwjBCDLWe3bZFuvtftx8ODj3P0g8EEUIL7ZeDIcvCjFfHFuBp/6s09gauwKujvbsHlDH+rSSXiWwYGD9H622KUOCNtJBcnlpA0JPiuYCBM5iahVpkPhHhoMV0C2bOE7jzyJk4MX4JGCVY7AgYSCYaC5tRmbNm3Arl070dbehlQqFTwUKt0M6noQcEgl4twBIQoVjWCS5l7Xf1CnhEIBq6vGnIzukx7FC1x9eMVDDOJKKtcJ6T8oCZ2yPIhVJZBtr1ChY5k28rkiAxBNjeD84CCOPX8MTx58gqlS9Dn0M7LYFUQXmiaiq6cVmzb1IZ1JcL4KhECwT7tM7l0BbS0QzJeLOgMb6oDs3bMPWzdtDYTyLIo38NGPfgQPPvjgDVc0gY6tW7dWdCRBACNT0tZQLgiBOzIDuB3H0vt6affjuunB7ViU8JjDCoQVCCvwOlWgCjRe3PlYDgBCLAb6G76cIwQgy1nt22RbN8v9IO3Hzbsfn8U73vFOnsQT9YdD9EQhABHcCQkAyEIFgFy+MITGuhrs27UDLY11cAmAVOL9qFtAdrxLtSA0cydQQrSuII1chOV6KFs2ZC2BfNliq83Hnn4Ow1fHoaZqYDmA5frwFAWbt27G7j070d3dhdqaGs4CoR0Lks5FqKRF0TTEo1Hu1rB2RRJ5HxiAMCUroFiR3oKtgjmokJJKArDB+1YJKKxmhtBPbAYgQUeEwAQdH4ED+kpgIJ8vcoK6Iim4ePEiThw/gYOPPAbTCOhBROUSBA+yInASemdnC9b1dTL9SiILsUrXg8TzqqZwF4lBmw+Uijp/7rZt27F/7wEM9A9c78yQa9bo6KWX7YK0tLT8wHT01XwblMtlZLPZ1XwIP/S+v9BJDLqKIfD4oUsZ/mJYgbACYQVetgJLOyH0plsNQOjz6e/2co8QgCx3xW+D7VXpGfSVnZwcB1euXMH8/PwNR0/aj4MHH+NwPXJ+IgBCE3KaEFdBBFvxVihYn/rz/4LhwTNIxKK4+4596GxtJk4VROpwcOCgAI/oSWS1yULsgOpE3wcdEAkuUZpcwPZ8iFocEzMLOPT8SZy9cAVTi0WI0QQWFnIwbRdt69dj74F92LtvF+op8yMS0KxokAUoCdEpNZRF89RdYctb8PtoMNDgbk4ARpg+RV0aeJAl6QWaEiWyEwDhLBDqigT77Pouu2C5TlBH+n3SsBCZi46lXNKZKkV0rMuXr+DkiZN4+PuPwDbJUjTolgTgQkJNTQwdHc3o6m6FRAmOFODoO9z9oODESDTCFqUscnccGLqFiEoi9BcACOtn2F3LYQeuj3zk917SBaEWLp3XpTSs5XLxWI5bi8AHgZDbdSwFHSEAuV2vgvC4wwqEFbiVFVgKOG41+AjmMwrIiXS5RwhAlrvia3x7L7berU6cb5Z6/tnP/B1+4R3vYABC2RfUQgjoSGRsFWggZKkKQGbw6f/rL3Dq+PPwHQtvvu9N6Ovpgka0JYeE2D7fRIE+wuaJNHVP6PNoYh2sKBB9yaeIAA4XpBDCkSvX8L1Hn8C12RxyugNPiaJQKEPRoth1z93YsXsHNm7qC8IFK1Qv6qTQRDteEc2zxa5P25evh/mRNa9CInkOFqTJfpB2XtWosHidaVcy054IudA+VrtHNNl3KuGKhKUCR6yAex9kg5Adr8sAxDIsUAr56dNn8dB3H0Ihn2cgRt0eUfShRWV0dDShp6cNnV2t3BVxXRuWbQQARJFZw0KfT3WzTZtF6LFojDsge/fsx7b+AT4fBKYIKJH+Y/TiKA4c2P8SLcjGjRuRSCSug5Dl5LHe6tuLXEqoTuFYkjcTFiOsQFiBsAJhBV63CiwH6Fi6s7RoSuHGyz1CALLcFV/j27uZ9e7i4iJnfywdhLZPnzqBWDzBoXo8EScOUxAUHlCBPJ/pWILvITs/g7/9vz+F5w49g/ziPB5484+hn0ThqThs02ArXuqieDyJJgASCKypA0HfUweEgEIAQHzYHqC7wODFy/jOwwcxtVhC3nBh+RJ8QUFtYzPe9BMPYP3GPjQ1N0AQfO5OEKAiJ6jqJJR1DuTaJYo86U4lE/w1kYwjFosGwKXSAeFjq6SyXw9LrOg6OByRQAYBD8dm6hU7YlVcvaqWvJRYzuDEJjBDx+bCMkwOKjx//jy+/72HMT01xXkgBLio0xGJSOjubcO6vi5097RDFOg4LBhmmV2wKHMlFo8yUOKOleUytSsWiWPbtgEGIP1btwV6FdasU1J74Ij1q+9/P775zW/ecG6JS9re3v4SMfpq14LcjgGEa/xxFR5eWIGwAmEFbvsK8NwllVr2OoQAZNlLvnY3+HLi80uXLr2EN/9bv/Wb+NP//CfQIlEGDkH3g3PNAxxSMZHiJHMCIAtz+Mzf/DWefuIxTIxdxQP334ed2/rR1dYMvVSA69jclaDVeZezMgh0UA9AYEoSARESuBMxiwAIidALhoPhy2N4/NARXJmcw0y2jJLtobapDb0bt+Ce++9DXUMtNC2YoFPXgibeBKbGx8cxMzPD2yCxNoGohoZ6tLW1Yl1PLxobG5CuSSGiqYG6w/MCVwvShAiBSL36EkWZaVblsoFyucT0JgICXAICPkzfCrQgtH1FURGPJZiGRSCNKFilUgmXLl3GwUcPYnRkBHMzs+yaBd8BGYu1djZh/YYerN/QzZ0Z1yUAUeIUdNKpxOOkbQlWtSnk0LFsRCNx1n7s2b0PW7f0Mx2Mj1cUmA5GD49vffObeN/73nfDRU30q/7+/usAhP69FmhYt7P+Y+0+tcIjCysQViCswO1dAco2IyOg5R4hAFnuiq/h7VUByNLgQaLqEP0q0GS8MB763neZvqNqFOinsM0sT4Arr2pkBk3caQJfyGXx+c/8HR5/7BGMjpzHnfv2YfeObejfvAFGuQjXsthFizTrrKWwnYojllsBICJTtJiG5ZPI3EPZ9jE2NYPnTw3ixNAoLo/PoGjaaO1Zj/X9A9i9bx8ytWnIssBdCVrxz+VyIEA1MTGB+bm5oEsjSZyZ0drWgu6uLmxYvwHt7a0MQpLJOOtCqNPAlKtKVgh9HgcKOg5My2VB+fTUDMbGr4FsXrO5LE/yqWtA4KCmthb19Y2oratFPBaHRt2eqlAfItOgxq+N4/CzR3D62HGMXb7CVsM+6TxED3WNKfRt6MLmTX2IRlXOAKH0c9syGVhFyUaYKWDUTPLZ7Yo7IP3bsWf3XmzdvJUpYUFWiBAEI5oWFhYXsGf37pc4Q/X29qKmpmZN0bBud/3HGn50hYcWViCsQFiB27YC9fX1nN+13CMEIMtd8TW8vRfTr6qWpWNjYzcc9ebNm/H4wUeD4MEl9CueqHMAXxDaR8CDKEk0CS8X8vinL34eBx95GOfOnEI/WeNu34YDe3fCMQ3ugIgCWb5WYi1IQ0I0JtviiTxNmhVZgSjJIAY/WfHavojJuSxOnb+AZ46fxtDoGEqmg/b1G7Fx2w4M7NzFnQ/qFhQLBeTyOeSyWczOzYHSsAmQsNaC3LpEkUVcba2tDEI6OzvQ2tqCuroa1liQHiWwpQ2E4dTJIC2HZTnIF8qYm1vE2Ng1XLw0iqtjVzE3N8udEKJFJVMJtLa1obu7B11dXcikMyx8p44IOWhpCoERD7Ozczh98jSOPPUMLgwNQ4rE4FOSvOggUxvFuvVd2LJlPeKxCKe1UwI6vai+5IxVkbgEAISS0CmIcBsBkH0BAHECAEK6HHLhomMwDB0f+chH8LkXWfIS+Ojp6VlTmSCrSf/RUFfHyeXhCCsQViCsQFiBW1MBCqWdnZ+/5S5Vt2bvX/hUyu9aibyuEIDc6jN7m3z+a8n++NjHPorf/9hH2S1KVlSmEgUUrJcCkEBMLsAol/CNr/wznnj0ERx//ihb8PZv3Yj77r4DCulEyFvKI8oVIPoC/w6DD9OERyL1CgWLtCbUU6EOiCcqDECOnz2PJ4+ewPnRqzAcEc3dvVi/pR+79+1n8fji4jyKxQJPtml/yDEqEU8gmUrBtWzoZR3ZXI7pXgQMCFgRFau9ox3trc1IJZOIRDV2myL6FeWa02fphgHDsDC/kMfc/CJmZucwMzuL+cV5kG0x0arofUTBSqaSqG9oYKu82ppaJOJJBlYEqtJJyiaRUcgXcGHkIp55/HGcP3MWciQOz7MhiA5qGxKsAdm4aR3iMY2F/o5rsRidOiCapgadI9aheDB1C1Etiu3bdwYaEKJgVcCgIkn8Pto+ZYI8+eQTePvb3n7DlU5ga9u2bdx1ou9XOw1rtek/Nm3YgE3r1y/70+d9H/kkzs9YODHrYNGPQhZFqEYOMxfOo72uAeWyBUmJwLYMuFYRHc21aG1IQ/IN1KTjSMREZBeLmBwvMGhu6ExhdKaArz06gmuLzYDcAtF3oSILQfKgRptgOz4kLYe4ALTF6vBzD6TR2erg9NEh+HYaBVnGyUUFbioB1fOgORocCDAkoi/S4oEASxHg+T7aHvnwstcs3GBYgbACq7MCg8PDGBwaugGALLeA/EetHAEPAiArMUIAshJVX4PbvJn7FdGLTp8+/RLXoBPHn0dvb08gPqeuBGkZSCZeBSCUYE41qtCp6HvTKOOxh76LJw8exJFDh6DJwLruTtxz9wHUplOIaipPnDnzwyddhsjgwLEMDiMMjG4F3p5LAMQhACJjbGoOzx47hUMnTuPCtUk4voKmzh6s27wV+w7cwXqUYiHHQm0CAgRAyAWLHKIyNTWIahGmYRFYKJeKLP6m76lrUV9Xh9aWZjQ21qOuvpazQkSJ6EuUCl9AoVhEsagjmy8hlyshS10Vw4DDgvrA2pc6IARCLNtmETxN5lVFZQoWdUDoaw11RFSNgdCVK1dx6Mmncf7cee4uUfihKDpoaE5zBkjf+i5EIkRF82E7FQAigNuvtC2qFQn1y6UyVFnDrp27sX/fHawFIQ0Iu2YxAAkS2ikksVQuYffOXayLWTo2bNiAZDJ5HYSs5lDC1ab/WCkA8m9//y9wJefj0GgWBcTZFEIoLUAoZiG4ZF7gQo1FkE4mIPkWmuqSKGZn0dPRhLmZCdRmkohFI/jevzyN+YKPB971Nnzn6cu4cK0E149DEKOIJqKwfBuuo0MUYvAFjQHI+rYG6JMm6hMTuP9NdcjN6Dh6agY779+Lb3/vFBsxdHfWIF0n4qv/cgHphk7UpFW4rgnDIyc+EemH//0afDqHhxRWIKzArajAuaEhnDt//nrYbhV8rCYQQn/7iYK1EiMEICtR9TW4zReHD9LklFbxh4eHbzjagH71CHcJCIAQJSoQnwcJ4tUvfhBgzh0NAiamoeO5Z5/GM08+gaefeBJ6McddkDv270FXRxsyqRQ7NxHtihymVOp0kBuWZYE+vbq6T3oTgiOm68HxRVwen8ZTR57H0TPncXlyBo4YQXNnD/o2b8We/fu5M+A6FtKpFO+aaZjsUBWJRFGTqQnoUKrKk/Hs4gIW5uZYw0Egg363ob4O7e1t6OhoQ00mA1mRWE+SzS4gm80hlyuiUDJRLJsoGwbXQotGmLqVSCZYcE5iceqwLGYXGdwQLY3AGW2TwEg6meZ9MHQDY1ev4dlnD2P4/Aj/zPNIZO6hpb0Oveva0dvbCVUlwEfCdpNF6GxhTMnoHC7Hynfkc3nIosL6jzsP3IUdAzuva0AI3LH4nbsgAQD5rd/8TfzPr/zPG851a2srr6xUuyAswud8ksq5XkX3wWrTf6wUAPm1D38Cs5aKsxNlZE0Jly9dgmTp0HwHXR0duDYxhVRNHA31GcQjMlyjAN8qI5OKoKezDbpe5O7cfM7G4KUCHj82heb1d2BweBx1NXHMLM7CpGs0EodezCIZz0DWkrD9RcQlEYohorvZwjt/fh3On57GwafHMG9IuHv/JuTns0jFyEBhAYrSgEuTDqZKBSSaNUTp+oeI9hN/voquyj1B5zkAACAASURBVHBXwwqEFVjJCpweHMS5wUH+u7bUaGU1/Y2Lx+NIp9MrUsYQgKxI2dfeRpfqP6rhgzQRJ7H20vGrv/p+fPKTfxYE+KkB/eoGAFIBIaRDqOaA0Ko7iazPnT6BQ888jccPPoa5mSnUJGLYNdCPLZs2oqmhnp2bCHDA9aBSx4ICCW0bMnUdKiF7NBn2BeqA+LA8AZfHp/D00WM4fnYYVyZmYAoKOkiEvqUfWwYGkM6koSoSBweS6Lpc1pk6RjdsQ30jHwNNrImSpJfLKObzWCQgsjCPcqnE2or2jjbu+LQ0NUKLaAxOiNZF1rmLizkUiibKug2TNBaixO9JppMVjQyBiMD9yrRMBh9Ua3rAUf4HARGiYVH3IpfN4cKFURx97nmMjFwIJvoe0bR8dPQEKei9vR1QZLL8dWBYZViGwZ0dWv2lzg4nvEsKsvNZ6hdh3959uOfOe7Brx+4g0JFE6HRCKGndc2HaFsp6GZ9/8B/wex/+vRvONdWIxOhEv6qCkCDnJbBbXk1jNek/qK4rBkB+7z9jtuhjuijiuePDrMuqS8ZQV5NEySgjXyojqgGa4iNBVEDPQiquIpOMoamhjimDFl3nURU5Q8DUjI/nTy/izOgclFQ9hEgSk7MLEEQNenEBBuXVpJoQSwocSpoQooA5gV/8V/2YHDNw8swMJuencN8dPbg6OgPXAO7dswn6wjQSdY34ztEJzFoWUrKAxqYGpE//yWq6LMN9DSsQVmAFK3D63DmcOXcu+LtYWWBbbYtsZL9LNrwrMUIAshJVX4PbrKafc5hdJf384sWLLNZeOj7zmb/DO9/5Tp7E06S0Sr96cUkIfNBEm1bbKcuCAMjlSxfx/PNHWXMwemEYku9hY3cX9u3Zjc62dtiWBcEL0s/pBdeB77qQyMq2kpBOTlQ+O2EFAOTKxDQOPX8cR0+dw6Vx6oCo6Fq3ARv6t2Hbjl3I1GQYfAR6DJPdoV7QNEhs/UsPHA4JrLhERSIa2+mWigXudrS0NKF3XQ9ampsQiVC3xAZlo1AHJLtIYnYHumFDN+mrwR0WomrFEpQlEmMaGIMDCHA9h920qLtBL3L9Itth0mOQI9WFi6M4evgIRoZHAJm6S0TnEtHW0Yiu7jZ0dbbyxE8gFyyjDMsyuL4q7ZfrcQeEAEgxX+Sv+3fvx50H7sSObTu468Ei/8AbOQAgjgXdMjA0OIS79t15w2ms6kCWApDVaMe72vQfKwlA3vehj2NsKgtHiGN6toBoJAHqt3lwUDJ0aPEIrOIcapMxRDUZtek44hGFndmILpnJpOB6PgqeCV8gOqUKUYvgc185huOXHcyZcdTWdcAjAwXSkUCG7UWR17NIRBVEoCCu0LU9xduOJTKYmxnBW+/tglFw8fzJcdSn6tCSsPDmezdifN7Cl75+AqZXw05z6+bDDsga/PMUHlJYgVtSgZNnzjAAob9rLwYgq6ULQgGENB9biRECkJWo+hrb5mvRf5w/fw7NrW18wUtikA9RHczMId0HUSx4VJLMfRemZWB6egpnzp7BM4cP4dTxYyjncmiprcF9d92Nvp5e7nKQVoOEr45JYMTlDBFQpgaBEVKpM6+LVvslmK6Pq5Nkw3sGh46dxIWr43BFDb0bNmHL9p3YsXsvkqk0gwvK/CgWacJuB90OXefEcXrokKicQFcikWQuZWdnO3cJLNNANruI+oY69PR0MQAhbQdRn8jON58rsP2ubfkMQgqFQMy+mMtiMbcIVdMQjcc4O4Q6RrFolLsVEVVDKpFAXW0tdz+MchmmZWFhYQEjoxdx9NAhXBgegRDRIMgC1IiM1pYGtLU1or21EbXpBGQRsMxykIYuAdF4FGXdgG1TN0SBoZuIqjHs37UP+ykJfXN/4BBAg0Q2IpG4XFiuDcM2US6WsX/n/pfoQKqp6EtpWKstkHC16T9WEoC8+3f+GLYN6JYA0/SgRRLcDRy5OILuvi7WMzWlohB8iymUrmUgGlEQj0UZzNNFRgCkXNBBGZ6i5sNVNJwZzWF0VsORwRzmiyoEOQnTKnJoqO3FYHoWFNGB7AtQBQG2U2I+J+mmahMi3vXjLbh2rYijQ9PIlzX0NojY1eNj96ZajC3G8MVHrmJk9CreGv3GGns6h4cTViCswK2qAAGQU2fOVBwuyeXyBZrxagEgFBxMi4QrMUIAshJVX2PbfHH+B63GU+djZGTkhiMl/cdjjx9kATcJpEVyhWJpeDCqXwkjXJcJUGgfAxATs3OzGL4wjOOnTuDo4cOYn5xEUlFx94ED2NjXh4gaYacpmT7JdTkdnV9ExXJItGozAKG8EDUSQaFsMp3jwtUxPHXkGM6OjGKxZGBg5x7s3n8HNm3dBlFWUCqVeXJ/5fIVDvsjIECfQWPs8iV2n5IiEew/sJ8D+Opra7lDQAAkl8+irrYGHZ3taGoiypbCuotCIc8amUKhDMcSUCgQwJpjYFYoFXHo8LOYW5jnjghRyWpqa1hPQenqBDxaGpo4uZT2RdUUpmbNzc/j7PlzOHb4MC6NjkJJJuAJPgcP9vV1o6OjCS1NdUjFopAoDd3SYRglOJ4DQZagk52x60EhlyLTQTySwIFd+7F/z170b95KjRLW1xDdCwrgCh6LgUkMTwL4D/zGB26qAyHnLnrAVZ2wVluLerXpP1YSgLzrA/+RbacJ65M7ValsYHpmNjj3MpCIRpCKSWioq+EuBgVlUodR0xTIqgLfI+BuAQWB7aJ1RcBMoYiFgo6p6TImFiXMOTV4+sw4lEgUhu7Bl9JQo1E4Tg62rkMT6Z6IwvYM2EYBEVcB/DgQMeFrFiQoiDkLOLBRxM/9WAcDj3y0DwefPIzGy19fY0/n8HDCCoQVuFUVWO0AZCUdsOichADkVl2Zt9Hn3kyATv7YV65cuaEK733ve/Bf/+qvEIvGg9BASgVfAkD4zZVVdqb6VFyxaIJMVB/6zKvjY7ya+vSTT+LaxVHAMLF/125s3rARDfX1UJiq5EMiEOK53PkgAEKWvCQmJwBCwm4tGkW+pGM+X8LMQhbPHjuJk+dHcHVqBrv23YH9d92D3r4NEAQJxWKRg/aGyPHi3CADifr6BlDrcujcOdZyaPEY9u7bB3J+0hSF7Xsp5K9QzKO2toZteevr6xiAeC51O/IoFkvcVfE9GeWShdnZedTV1zHoeOjhhzF6+RJ3REhgX1tXA0orJZ1JXW0d+nrXIZ1MMghJp1PcgSEL3zPnzuLokcMYvXgRSoJciAINzIYtG9DR0YyG+hrEVOoSAQLpQMwSLMeC43uwSMAvkCVvjG14Y9QB2b0fd+zZh21bqgCEqHEeIPvwJB+mb7EzmGlY+Pzffx4f+fBHbjjnlEVB2SVVALIaheirTf+xkgDk3f/uT9lhzfMtPudly4Lj+piamEBDTRqNtWSuoLLuyzJ1vhfI9SpCAMJ1OSSUdFYgAJzIYGq2hJJuARIwMzeH6ZyDRTeDi9Muhq/NwxGSEOQa2B7ZY7tQRBeuoQBCBFAcCF4JnuWhhCTkqAbfWUBDXIRs5vCut3aju1aCn7sKKwfEUxl8/fP/5TZ6coeHGlYgrMCPUoEqAGHtpCyvug7ISjpghQDkR7nywt+9XoGbCdCvXbvGtKWl4+Mf/zh+90Mf5IA77iCIwo0AhFofbMErsP0Va6iZkkFiZxOzC/OYnZ/D9MwUHnvkEQyfOYv87Bx2bOlH/6bNWLduHSQCLp7HVrEEQEiELtDExqaJMoXukcZBhqxqKBkWSqaNkuXg5OAwv85duISd+w5g3513o7Orl5PLDb2EifEJnB8aYlcvChrs6enl14ULF5HLZdkVq6Ozg9O/LdNk2pbjUnp6CTU1GbS0Un4HOWYRAPFQLFYBiA5JUuHaPgqFEuoaGthy9/Enn8DQ8DDy+RzWb9zAQIMmaxeGRjhXZFv/Nrbfpe0RECKNzMzsDM4NnsOhQ4cwPDICJaLBsw0ooo/12zajta0ZNTUpqCKgSgI0RYLlGCwkp2268CHKMiLROFNgNEljAHLXvv3Y3t8fdECqKJEyFAQHhk/AzuPgwueePYq3vuUnbzjnpGEhGtaLAchqEaKvRv3HigKQX/9TQHAgSS7T9DwKEdVNaIqKukQccU2E5fkwLD1wq1NkJFNxOI7PQMWwbNiuAylpgxJD9TkXblnggNCcZ2KmZKFsRbEw5+HEpQVMFCV4Ypod7SCVEdEEyH4SnqfBF034sghXiqCoz0NxZCSEOCC4kDQJfnESP7Yxip+/uwOwsxBkGf/4N/8pfLKHFQgrEFbgVVVgtQOQlXTACgHIq7rEwje9UgVIE0EgpCo+p683E6B/8YtfxM+8/W2IaFFIJJCWRBZR30DBYg1IoP0g8TWFg1EuhmGZmJqdRr6YB3HyH3/sUZw5fgJTl6+ir7sbWzduwvaBARZoE/BQCYCQMJwS0ilgz7HhORavvBIvnFZbKQfE9gDd8TgPhByxhq+Mob2nDxu29KOruwcRTWPqFnVAZqanMD09w+CCVvIJdJAWhIT0qUwadDMTjz1IFCcXL7K6ta7TpzLpFAvvafskUC8ViygVKWiQROxE2bKhWyZKuo58sYB8LgfDNJCgwEPXgaGXGbBl0mm0NDWjNlODZCIBLRLhVibt4/nhITz+2GM4e+4stESc7XUT8Sh61/egsake6WQcvkN8eQHRiArbtbkDQvVlfEE5I6oGo2whqkaxb8de3Ll3H7Zv3fqCBoQOUPTgCi4sBLbEluGgsFhAb1fvDZcL1WlgYOCmHZDVwJFdjfqPlQQg7/j1/507ZJJIIISWEojSJxO0RTwWg2c7dFPD911omghNk9kpi1zpXEh8/UdiEYiijsWZeUSEFCxLgun5MGUBU7kciKEluAryrowLUyWcPDOJsl+HkqtA0KJ8/SmegIjowRFMSHGVAz9dS4EE0p6RuITk6yV4xjz+9Vs24N4NZC7h4R8++R9f6XEX/jysQFiBsAJcgdUOQFZSgB4CkPAmel0qcDMHrHPnzvGq/NJx4sQJ9KzrhaZS/of08gDECwJAaIJKAm/X96CbJsYmx5ieRDN8suM9dfR5XDwziOaGemxc14f9+/ZBU1UGABq5XTkVAOIHVCwGIyRQd8ltyoSkUiKyiLLtomx5TMe6NDGNWLoGTS3t6O7tQZTcIXyXBefkbEUUqNm5OdY8EFuMQwEjEcRi8RvyLSgjg4CK75F+oxZNTU1IUa4H8dwBlDjpnABImeUqvh9wzhazORT1EneISEtj2Rbr5sn9ir6h1HMK90vFE0in0ny8JK6nrgt1h84PDbNN8dDwEOpbmpFMpzgUsbY2jXQ6wbx6q1xmZzBy5GKqGFHcKDOF3YoI+ElwLQ/JaAJ7tu/GHbv3YGDLFgaLXNwlAMSGBYscxmwHVsnizJDR0dEbzvvWrVtZRL9UB7JahOik/SFwt9rGStnw/tyv/RGDjtziHJLJKDpamyuULHJwo3vCg0R8KtiIRmUWmhOFz/cV7oDIqgzDMXkhwdR16GUTsXQD5gsiHnv6LCxP5VPR3dWEdK2K8akpzOVkzORVHL8wAzeSgmG7UEUFcYmc3Wx4sgBRIpcXAablwHFcaArl3gTPh00NLv7DL3bDMgr4h0+FAGS1Xevh/oYVWKkKrHYAQvMSWiRcqRFqQFaq8mtkuzdzwKKJ88mTJ284QuoMkCaErGVVReMOCFGwbtYBqeZN0IScuiAMQCwTFy9fhOnYiMaiOH3yBE4+9zxOPvscEloEPV1duOuuu5CiVX9JhkLhhiw+t7gD4ns26yEIgNiOC103AgDiAwWiiCQyIHnq+OwCLA+IxBLo6e0FWerSRMV1AvoWgQHSBOi6yW5RRDGiibVLK7gVC+Igs8PipHECB6QBaWxqYq9tlahngsC6EuqA0Ao7ZZ4QICMgU9Z1lE2dJ2sE4AzT5AwQ+t3amhrusJALVjwS5RR22iFD17n7RCL0wcFBPPPsIVybGMfm/q1oaGpEPBFj8ERZH1FNYfADz+FAQgIC1PmwSehPQIaT0Mn+VERNMoNdAztxYNcuDGzeTE2PYNBJIw2I4IFgC73fsV2YZR3v/IV34Yknnrjh3FMWCFHFVpsTFl3blGVDX1fbWCkA8lO/9EGUygVoqoTNG3ohUseRAK5l8zVO9Eef70ETquJBFgQGIKoUhWWT/TRQLBUgqknOxZldXMDUgo6T5+ZwccxhxytFAjasb0FtrISo4iISbcBCWcRzg2OYNQTkLQmuqyEezUAQZL6fiA6maCIEomQ5DkzTgSYl+L5N2VP4i9/Yiqhs4nN/9cer7VSH+xtWIKzAClVgNQOQlRaghx2QFbpo19JmbwZAyN2JBNtLByegP/74dQBCuRY/CIAEE10KrRPYyYkAyNDFERajxxNJXLt6BWdPnMChx56AZ5hoqm/AgQP70UydhkQCEnVRqANBK6COzV+pC0KkENpnTvH26HMdFHQD8Zp6eJKKibkF5pvLWpQBCNGXFElgITdbhLoui8dp0sQZJjw3FXiiRftLq6vkYkXdDQITBEBo8k1Wd0TRItEXTfqLhRKKpSJ0vcz/JmE8AQWa45MYnML9gtANgdPXA6cgjQEMAZAof68yADENg1PQiYI1OHQeU9PTXNvtO3cwfY1CD+fmZ5kaQxoUvVjkekhEgau8aOZnuC4s0s1QyrrlcAdk7/ZduHPvXuzcupXdd9mdjFGjD08MAAhlthAAsXQDH/29j+LBBz93w7mnRPTV6IRFwI+MD1bjWCkA8o5/80EkEnHU1qRZ40FW2LQgwXQ7QeDFBJdpkAQ2PCgURAqZjRh0nQTrNmRZQK7sgdhaM/NFTC6UkXdiuDJVRNkUkKFFDHjorCNClY7amjr4ooLRqSyGJhYxVZSwWJTgWCr/91iCHLFM2K4Jj+5lhWymfShyDL4rI4U8PvaeDjRmHPy/f/m/rcbTHe5zWIGwAitQgdUMQGg+QSYxKznCDshKVn8NbPtmFryUcXHhwoUbju5tP/M2PPi5BznXggMIJZknJDfVgBBHPJjXVwAI5QqYGBwZgmFbrIko5nMYOXsOT37/ESzOzHJHYOfOHVjX24vG+np2vhLJrclz4VomfAYh1RTxgN5VJgG6YTIASRAAkTVMzS8iXzYhyCp6+tYhk04gpilsE0qT/YAuQvqOQPdimpQLQoGJMoMREnMXiiVkc1kUCwX+GQEQanVSF0OpABDKAKEuSJnoVjJ1P1TE4jFokSiHDpaNEqWg8PfcEWKQEwAdSnknUS+HKtLk37LZ0peAB4nPVU1FY3MztvRvxcTkBIaGz2N+YbaSeC7BLJfhUliD78OnUEFJgqQo0KmDQ5NGSWYAkojGsXdgB+7cswc7t24hVlyg12EQ4nEHxBFctlwlCpapG/jbv/5v+KM/+qMbzj0de1tbG5/31WTFS9cxBVCuxvGDAIgsE8gUoKo2MpkCdu+hbJ45WKaKy5daceVKC+bnMnBdEYZO2Ryvfvz27388yPOge4/uE5vE5S5/QInAtiRCpmtXleHBZZBhORLyeRuSGg+suSUBuZkplAsmpudKsMUoFg0TJnVHDAPNdU2YGB3D5p4OyG4RLU0p1NcmIKoxnB6dxuVZC3MFGdNzBsYm5iBF44gmErBI5M6dSgGRWBqm5bLLnerk8Y772nDHLhVf/8SHX/3Bhu981RUgmgc9+5roubR1K39lHSAvxhQwNDiIiyMjfL/RIg/Tb1dh5/FVF2QNvzEiRrAu1oeB1A48Ov8wZq0Z1j0u55AF0p0RFVtFW6QdA8mdqFPrkLUXcVm/hCv6ZRSdAhzu/P/wFNvVDECIyk2vlRwhAFnJ6q+BbS8FIFUR+s0seN/5jnfiv//df0ckFuWJKHdAGIAsyQGhJwYtrosB1YklB0TBAtjO89zQIGtBEqkku12NjY7iqUcew+WRCyxu3bh+A/r7t6CzvR2eZTG9QxYAyyhzlgatxvr04o0I0K8DEBNaPA1HkDGbzSNb1AFJRs/6PratTScpJI26DR5PtDUtEoANy6oEE/ocqkh0KrqhKBdjfn4BlB9B76urq+cOQCKZ5D/CtP3FxSzyhUBXQuCGXiQYT2VqEIvHWY1BYnQKPiSaF3U+CHwQ2OCOiSSxm5bPLx/z8/OYnJzE6JXL6O7uRt/69WjtaMfpM6fw3NEjHOQoCrSfImzD4qwFWpm2qeNBwEZVYBBljWx4Y3FIgoh0IokdW/uxf/sABjZt4A4Ij0oXxBMoitDj/aAcEvrMBz/7OXz4wzdO4larFe9qtN+tPlJ+EAARiY6k2tiw8QqDj5mZWszO1ICASU/vOOJxHVevtODpJ3egWIy9pqfU7/zhnwRZMqKMQp46gUQjtDh3R4tFUSyVOOSyvaODFwCyZQtFQ8Tp81cxu6gjnkxjXV83ujMuJFdHuWyibLkwPA8FCgGFBNmXkZvPQ1ZFqJqF5oyM7rY0Z+iULAnnRheQtzRYjgzTJ/Ai48q1eSzmHBTL1FFVAIlyR0RYrgnZ09FXL+KX3rUOD//lv39Nx1t9c119Pe5605vYTti2SLcVGGks5VfTxJpetKAwOTGBs6dPM31yrQ+qQTyRwIZNm9Da1oZyqcRBrHS+0pkMP++IDnJ5dBRnT50KaKmVBZ61Xpu1dnz0N6peacBPNvw0GrVGfHXqK7isj94UgASLaiJqlVrEpATiUpzBge6WuSyVZUhIgoyElMDmxFb0J/v5Z+SOqQoqL8o9Pv8YhktDcHxSMQZ/pCRBAgGh7ald6I31YtKcRM7OIibF0BXtRlSK4nj+GE7mj8PyrB/6NKxmALLSAnQqeghAfuhLL/xFfkhUugH0B6MKQMh+d2xs7IYCveud72IAwmJkNdBBLAUgTHAi7g/pz5nuFAAQWjchyEAdkLPnz6Ns6Igm4kjEY5ibmMTRp5/B2RMnUcjm0Nbahl3UBenpgWOa0MjRSZZg6SUGINQRIUqU49gMHlwSpdoOCmUDghqFLUjIlXTMLebZHWvdxg1oaKhFJh1HPE4iVlrpdwMaFQK6FQvwXVpVDVzATNPiVbyZmVkGIKSmJ/pVe3s7d26IakWrQQTSuEtSLCIW1RCLUep5lP8Yk30uH3+l3UB/nMm5h140gaGkd5UCEgtFnvRTl4UACOkVrly9iq6ebnT19CCVzuDCxREMDp5BqVRg8CWJRK+ijBKbszsIdDiEKVQFpudCVBSkiDJWV4/W5hZs7OnFlnU96GtvJTFOoD9nr+NAA0L/I5tkqgUBm5sBEHrQEShaTVkgq9V+99UAEEVx0N0zgR27zuP0qfUYGeqE65IeiIwJLOzeew733Pc8vvHVH8O5M+te04PuLe/5d6jN1KFUNOG4AmZnF+FBhkt0RQEolsvwTYfzPgzqTgoR+Eoas1kb83kDFk3QfQ87ujVs7U1BFgrwHAOlMmB75IilMt1PFjxkDR2xpIaGlIvGFBkn2FDjdbg8WUDR8FHWLSyUyCo6hrlFut9TmFu0UTIBnXRO1NSEA8EtI2rP4Nd++U4ce/APX9PxVt9cW1eHO++5h+9PmkjTs4Am3nTNV93eiCpJtEwCKPSMIA3YWl/lp2OnBZSBnTvR0trKoOvSxYu8+EGD6tPR2Ykt27ahobERw+fP4/SJEyhQbai1Go5VVQFVVHEgcyfeXP8ADNfElye/xKDiZh0QAh81Si3eUv+TWLDn+V54Jvs0dyaWjrScwR01d6FRbcRIeRiXy5dgeiYa1ADozNtz+O7st7FoL3JoMQ0CH9tS27ExvhlPLDyGq3qQSUbbJKDzlvq3oi++Hl8a/wKuGTfOVV5LwVczAKFg45W2w///2Xvv4Lru9Erw3PRyRCRABIIAmClKpBiUc1YHd9vj8bhrdsvtmt35a9tVrt3a2rV3Z2zPlmvWNe7yzpa9nvbOrqvdbbe6W61OCq3QihQpiTkTJAgip4eXb3x363wXDwJIBZLTWgFsXNUrUMB79937u+k7v++EVQByPWfb6nuvGoFrBSB/8Ad/gD/6oz9aACDsgBBgBLPqQReEM+n8JbUJ5PvwT26N9pyA6Vg4eeY0iuUyQtGIpIGX5/I4c+QoDrz9DsaGh8WSdveu28HZX9KtIromdryubYrmgfkg/D0do+TE1zQRuhbKFdRUAx5teaFidGJKMkLW9/ejuaUR6UwSiURUAAA7GqRAcYupI+H/c7sd2wscthxXuhujY2OSnk5L27a2dnR1dYl2hR0QLmMT4wIamBgfj4WRTMaQyqRghEMi1mWxRlE630/RLH9BC2EZH4YeqSoKc3lx43IcDzOzHwKQdT096FrXLXSuS5cGMTBwFsXCXCDCnwd6tkWdiSn7b3k1cA7I8j1E4nF0dnehu6sb3Z2d6Fnbgd6ONehsbqRSXT5Pe1UeOF8hiWYpAPnFiy/jt37rt5acJysRgLBA5CztSl0+qQOSSpewd98xWFYI7x3Yimo1HLiwiezKR2//ZTz1hddx5NBGvPbK7usagnV3/wvUCDxmipiZLcF2FLSs7UbRtGC7LPoN+KaDSDQENRRBrmSiZAHhaANUPSL6KcuuwPBmsGd7B7qaddilMaFS2E4YvpKCWaX+SkHBdKAbKhoTNUQ1aqBmMTFdhacmEImnEI6FYLIzVwvB9nT5eXm8gKqroWTRcCFotzKzJGFUse/2TlRe/t+ua3/rb06n09h7551iG/7Om2/KPSYYz7rJeDBZs/jFyYubeeH9kN3u3fv2IZPN4uTx4xi5fFnAR33fOT4EIaSM7tq9WyghBCknjh8XoLa6rKwR6I9vxN3Ze2RiKqNn8b2x72LcHvtIAJIxsriv4QGhRY1b49iQ2IjXZl5B0S0s7DQ7GT2x9diZuh3vzu3HhDUOxw/OC4KMBxsfRk+sFz+efBaXq0PSBeFCsPJQ06M4WjyM8+XzCzQrPrf5357MPtzX+AB+PvVTHC0cvuFBXqkAZDkI0DnoqwDkhk+9Lr0hbQAAIABJREFU1Q9yBK4EIHy4jIyMiFPU4oUA5I//+I+l7c4OyALyXpQDstABEYF6AEAcFvlQYLsOTpw9i1yxIDzyNa0tUJj+PTyC137xMk6fOAnbtLB71y7csm0rkkIjCkIJtXkxLEGIY5pS0PMB6Pk+KqaFXKGEmqpBj8QQTzfg4uVhTOXm0NHdjabWZmSzadFoMBOE9CvqPbhwllMepi41GqqIwjkDmpuZw+DgoIjCMw2N6OzsQmdHJ0KRqFA0SOcaGrqM8ckJzM3NIhLWkUrF0djcJMGHFJDzRQASCkWkA1SnWsmYi+sUszdMASBldm2mpzAyOoqBCxewcdMmCS8k7/3MmVM4deJYQEObB2GKr4p2pVCqwiMHmyGGuTmZkW5obcYdd9wpmpXWpias7+xAf1c71q1phmTLBd4AQsMSi2R2QTiTzSwQy8ZLL/ziKgBC7Ut/f/+CBmQlpKGzQ8Uu2UpdPgmANDbmseeOY6LzOHakH5ZlSBYNj6uq1tDbP4QnnnoTb795Kw6+G1AernVJ7voaJsamce78MCpmDQ0tnUhkWjBXqSLZ0CwOdLx6isWCULK0UATlCjuSQcszEiG4d0Wb5JslbO3MYkd/E6ziKKBaQp/SQ2mUyz7y+QIihovONQlY5Tm4ngoj0oKirWIyNwNfsTE9OQezrCCWSiGayWC6UIVVC2GuXINp0+paRdmiMF5hCgkerP3dte7qkveRXrn3jjukg/mL55+XfKDrWViI06Ti9r17Rc9FmhIfzuya1Glbdde861lv/b1ta9fKNTq5+L6sKELtpB5jfGxsoSsRZDCp0rnIZDJiIy60WUWRa2Lo0qXA+OJT7KnZKe7bsAG33HqrAIqTx459LLWK62cH5IGHH5bO8YF33sHUoiBbPjcIUtgtIdjj5M/Q4CAuDw3JWH0amKtrSviT92AGu7JrxX/XIeLoyIjcs9ml535PjI8vjAnHkc8sUsa4zOVyomFhl6b+3byv1f/NdZByxufg6PCwuCDy81xnveu1AL5aW+V7CVrr28n3RmMx2VduJyeiSDdi5tLw0JB0zusg90bOh8/qM63hNVgbXguCiy2JbXhm/LuYvEIDQgBgqCHsTO1Cb7wPz45/H2vCbbg1tRMvTb+AgvvhxA+1HAQ1pCRfqAwsoUuRRiUAJLoez00+i1FzZAGAUPfxQOPD0v2YsCZg1yx5XgW0Lw37Mnfgruw9eHbi+0LfutFlpQIQXk+cGPy8l1UA8nkfgRX+/dcKQJiC/o1vfOMqACLZEvNLXafG2U0unB90CUD44HMdnDx/HrOcyVcUtLY0C8WqOlfAL3/xCxw5dBjTk1PYumUztm3ZgrWta4R+RQteg1Wz68KzTaFmkY4lYYSuh4plo1CqSDozdENmTi+PTQgASWTSWLO2HW0d1G8kEA6FBXwYui4PE3lY1GpQoULXWMy4qJQrgR5jdEwKpHQmi87OTqzt6ISm6YHwUlUxNTUtXYt8PicAJJGIoaExG4AzXZMCjEJ9cdoikOJ/vooaKSrkknPbyxVxyCIYYe7H0OVhCTC8bedO9Pb3oVAs4tSpkzh75hRcqyJCfAln9Ai8uN+mWA5TXzNXrsAPGWjv7sKDDz+ETCaNdCIhAGRDZxvWtTaJDS8dw4PDw9v5PAChNmZeA3Jg/wE8+uijS4uzFQZAVrL9bn3gPwmAZLJFrO2YxPZbzuHkifU4f7ZLuiDsfqTZHbnzKLZuG8C3/9+nMD7WdF13KHPdb2N0dByaHkGuUEYy3QSnpsC0PXGcY9fRrmnSeaCzG8M8qQmplKrSzeB1UKKNbzwqPO6UoaOzMYodG5tRmbuAsOGjWvEQS6zBxPQMPeOQjBnI52eQSTfDtFXMlWzwojcimuiYIloIs7M5GEYUplNDLJYC1JB0DjnBUapYGBwaQyRioCP3neva3/qbWaxzpp8ahx/94AdSFF/PwvtJR1cX7rjrLikuCRZCFPPPL/w7C8/3DhxY+F0qnQa1J6Q28SfBj+s4IuY+f/bsgpaCH2B3hmJvdiEW075Y4BL0vPvOO/J3LnXtCsEDXwQdDEUloGhqbsbxo0dx+dKlTwVZa9rasOeOO5CbncX7Bw7I9nzcUi/GN27eDL5OnTgh28qFhT3ByY7bbkMylRIXM7aeuT7uJ2lbBDAEUizWCQZl8oCmIZ6Ho4cOyf/Xs4c4Xtt37JDOSy6Xk/HgthKccXylY7t+PQ69996SfeR39G/cKICQ38sJItJrCd4WgzEeK3Z89uzbh3Nnz8rxuHXXLtmeo4cPLwFL3Nadt98uvyeoqY8/19HT24tNmzfLRBe7sRwHAplzZ87I918vyL2e8/FG38tnYUSLYk9mL7YmtuP74/94FQDRFUN0GduTO3CkeFgoVd3Rbtye2YvnJ3+C/CIAIuPB/+ZNCeoaD/6OIOd32r+GcWtMgEvZKy10WrJGVtbfGe3Cgbn9QgNza67cU5pDLXi46VGQ2vX/jPzdko7L9e73SgUgBOCcGPy8l1UA8nkfgRX+/dcKQP7iL/4CX//618UhZ3EHZDEAmRc9LBGhk4LFAlwAyMB5zObz0hFobmpCPBKB5np447VX8cHB9zB44SK6OjqxcUM/Nvb1IR4Jy2xrWFPhOzYcswLPtgWAUA9h2y5M2xYQQsqVRUqGFsLkbA7Tc3k4vo+u9evQt3EDUtmMhP6RQ8rCiQ8vAhFmjvD/CS7KxbLQrzjLRRF6pVxFJBoTByiKbpkbwtsprXGLxTIKhTzm5nKIx8NIJeNIS6clIg5BBF3s0EgmIylXui5Cd3YZ+ADkH4qFojyE6Fh14OBBjIyNCeDZvWc31nZ24NzAeZw5cxqDFy/At6tQqfGAj0rZlO5HvlgVLnzV8VB1PUQzaazfuAGPPfmEhBQyrG19Rwf6O1rR3dIAbR6ABI7EH1KwJK3e8+BYDk6fPIV9+/ataADCmyLpcyt5+SQAQpBBh6udt5/C1u3nMTrSguGhVpkfXN93GdlsUYDJ+we2wDSvzwXrqPKQnJPZbANm5wpwfQXZhmaUKqasX3JtPHb3ojRSg2NZUOetsS3bEqqlonHCgRoSHw2pBrRmEmhJ1LBjQyM8cw7RaBz5oisBmKZZRlNjGuViHobBHB0PqhaGEWXIqC2BiFE6zEViaMo2yUQBqYfUMTmeg7l8DkYoglg4KXTK3Af/1w0ddhbnt+3ahc1bt+InP/qRFOz1Ql/mWOZF6aJ7o5ZMtGOBKx+X+uw6OwCH339fZs5Z8LKQ5X1m09atUqC+8dprci9oammRTif/TkH77AzBGNDc3IzWtjaMj47ig/ffXxDEc708p1mMLwYgLOwJErhebjMX7gsL8G233LKg2eBWctb01p075fjStYrhrJ+0cDy43ewIcfvkvvUJS30MCMJIgfzlK6/IuHAf77rnHulWDF68iLnZWaGp8p7a0NSE/W++KZ2KtZ2d8nwhCPzgvffkO7mtpHKxM8HJn6amJtGj5HM5HDtyRO5bUuyvXw9SVwnECOx6+/rw7ttvL3HBIyDcceutAnzOnD4tlN/tt96KI4cOIS96v2CpA6bb9+wREHVhYAB33H23AIkPDh5cMg4EOwSuB999d+EYstvBSattO3Zg4Px5nD9zRqh9PA8InLgfFOsvV4oohd7UbFA0/szY0g4IAQD//ljTkxizRvFB4X1Ynik0q33Zu/DTyR9hzvlwLD/qdAnARwZ3Ze/FulgPXp35BU6XTgn4qAOUpJ4Euyf3NjwggGPYHMKIOSL6j/74BvkbKV1ny6cXuiY3cuGvVABCYxhxK/ycl1UA8jkfgJX+9dcDQH7v934P4WgksOElzWo+UuLDMZh3xJoP/As0IIEY23ZtnLowgBkCEN+XUD7O0CdCIRzcvx/vHzyIo4ePIp1MYF1XF3bdugOZRBIhTUWUrXHHEhqSR9G2y1BCVwAIbXOpg8iXyihUTJmpzZcrmM0XMTEzgw1bN+OW23chHIsgHovLi/nsdSBCO1xpjRMYcD1zBQwMDGBqegqFfEEcgKgBWd/Ti0ymQZLQWXwwCJEFwdj4GNrbmtHS2oRsQ1ZcwgjQOK4uAYgSFAQMb2T3hXQrASEUvFctzEzP4NKlIRw5elTCD/nQ56wlAx9PnTmDwcELmBofgwHmekQQj0YwMjyOsckZTE7n4EBD2fGQr1TR0tWJbbfdhsefflIS3ElZEwCythldzZmrAQhv92qQqcJuErfrZgAgK9l+t34tfRIASabKKBVJryli05aL2HfnUYQjNmqeimIxhtdfvR2XBttQrUYEqFzP8lpxn1BHWKQxrNMIRcUBifonBmXSAIFCbLq7RSMRAdKswSXE069JYWlxssBjJgiNHlREQwZ616axtimEvu4W0VzlchVExJnOQSYdQ252CpxZBR2yCkVE4xEoOkM6K4hGY4hG2eEBmluaYNuWWE8b4bC46lmmA88MDCr88/90Pbu78F7ez1gcsuikhoE0KqF5LgIZdStaFpLTU1MYGR5eKEY5w8vC98FHHpF7GTsMcn+kRsIw8MjjjwtAIFDg+3bv3SuF+aH33wepQ3U6DkFCvYvw9htvyN9Y+HK9/DzXvRiAcEadM/WvzwMQfh9/x67IxNiYdDvqs/vssLCTYlYqQqmqA5aPGzBuM4/98z/96TW5ffG7OQHDDm5zayue+8EPpEiiuxhpYOwSDF++LF0eLjzPCPj4PDmwf79MBBGY8R746i9+IQBpMd2JY7Nrzx4ZTwKBwCa9JoBhy7Zt6OzulmcJqXCkT731xhtiFFBfCEBuve22AICcOiXdGNLL2ClZDAa4PnZZ2PUgyLl08aIYFHAhqFkMxNixEQCyf78AEI4B95W/I0giuOH4cz/4/TzuXP/ijskNnbCf4YcIMEhv2pTYgu+NfWdJB4S6jd2ZveiKdOPF6edFQM6Ftr13Z+/Djya+L2LyOpC4cjPrAIbAggDn3bm38UH+PZS9pR1HAg2zZqLBaMTO9O1C72LXnkBu1BwWsfu4OSrv+bjvupYhWqkAZDkI0Dm+qwDkWs6y1fd87AhcKwAREfr/EmhAPg6AzMtgF74roGBBinDbc3BqYCDogPg+0vMUoXQ0grOnTsmNev/b+0Xz0drcjD27dqEpm0EsZCBKSpPrwDWrcE0LNYddBDfQUTC/wnEwV6oIFatQrqJctQSADI4MY21PDzbfegta2tbIgz9GDYcREiE6XywmdIapUUtRKGJ8bFy6DtNT08jNzSE3O4d0OgOG8WWz87MOTIBXVJmdm52dQTabQnt7G/o39CFOi2Fdl5li7r+is9sS2BZTIyO5IxTr1yDg48LARUmdn5qZkQfinXffjXQ2K2M0MjaKqYlxFPM5xAzGvdXgWg4uXBjC5FSQd2KSHlMDTN/H1p07ZV9J3yLNKhLS0NvVgf52ApC0ABB2lOZNygISFt2w5h3Q6AD20gsvrngNyEq2370WAEIReqkYR0vrDHbvOYGNWy4iP5dEraaA+pDLQ2uw/+1bMDLcAttm1+7alyO1e8UBjrbS7G5WKlU5XznTTL0BCwDFiAkwLxVJNfIQjcWlKGQnssrEdF2D4vsomy4UPQ7NCKNayaElZaC3q1XstT2XD68ywiEFjdk4YpEQEpE4wqEIqqUyonHm5AQ5Hw71JYon4va29jWy/rJpYnhsWjQo7IroNZpH5NDrvXPtO7vonbz+N23Zgn133SUz7vWikcUiX3UKiYB1xxEKDWfHCQ7qQIMC7EeeeEI6IJz5rv+eRTh/PzM9DYIKzs6za7H/7bdFA8HJiIVCW1VF37Bz927RMvD97JwQDLBIJsVIgNZ854XUIxa7r7/yivyds+8EUut7e6Vzwd/V38vtu//hh4WqxG3/tA7Il776Vfnud95665r0CnXq19ZbbkH/hg145rvfxZr2djz86KMC1t56/XXpdCwGFQQh1IWQhsWlvaNDivRXXnppAWDw9zwGXNfd994rzwq+f7F2gwCB93d2U6jz2LhlC9587TWhw9W/j8eBdCmCy9MnTwrY2bBxYwBmFgEV3r/Zndm6fbt0nAia7rn/ftk+GhQsBqWktHH8qXnh8eVnSbviGPzy5ZdlrBd/PztZ7A4RgCzuutzQSfsZfYiWufc2PoC+WD/+aewflgCQTYnNeLDxEXGtYj5IXZPRGemSrslPJ5/DlD0lmo0rl8Cyt1GE6+2RtWKh++7cO3B85yqROwEInbI6Ip3Yl71TfnK9UTWKlJ7C8eJRvFc4iGl7GrV556wbGY6VCEB4LVDjuRyWVQCyHI7CCt6Gj3LBYh7F6Ojokr36BkXonwZAFnImPrThpR2upwCW6+D0BQKQghTmqWQCyUQMqVgUk2NjIkL/5SuvoZjPIxWPYddtu9DW0oR0PIoIAULNRc224FZNeAQg7IKwi2A7QskoVS0Uy1XMFYoo0b4zX8C5wUHEGxvQ1d+HrbdslzwPhvyl4gnEohFEDAOaqsDQDUQjURFFsnA4d+asFDN8eE9NzQhIIThIJlLyeRZA8WhCihLmc1B43t62Brt3346Gliahp1RNztKqUCl0nNfCsFihToaCd+annDtzDkeOHMXBgwdlppEzeLv37ZUchlK1goppolwqwjUrSMdCKOVzGL08gvPnLyFfqKKmhFByPHhGCJFkGnc/8jB6Nm1AyawgGjbQmEmhf10nNnS0oHsRAGG2Sn1hd6pWcwMLYtPGiy9eDUDIM+/t7V0RNrwscCgIXenLJ4rQm+aQSpWx47Yz0hUYvNiGkcutcBwd6/uG0dc/JCGFr78WdEKuZ3njcpscZxo2wPekOygdQ1UVYEAb3qoaE6qjuCSFQqhWTNiuD1UPSTeS+TyOZaKmhmDWQnC1QJ8SBkNFy8gkYwIsYvEo4NP8oIRELIywZiAeisl5a+g+MpkodKasOyoU1UUkqotGip1Ix1cxMp5HqerJvcRDUGhudF6+nt1d8l4WowQgpGCePnVKClyCLhEQcwLB90WLwIcuaUScSb+ymH7yi18Ueg01EHUAws4DAQSLUQKKex94QLqi7GZwhp6TE3UNBUEHX2s7OkRDwBl4vh578kkpXI8fORJYkJMONd/toPsU6U7UanBGnmJ63r84s2/Nu3lxWyjMfuILX5DimxSkT9O5fPW3f1sE60c++OCaDB0WAMj27dKB+N53viOUL3YnSKli1+FK2+L6Z+pAjvtdp5Sxo7BYFM7uDceSXQjq9KT1Nm8FzHEnMGQnSMISt22TrgTHrK4n4Zizq8HOD7tcXd3d0ulgF2qxvoXnP8eeIOrwBx9IF+q+Bx8UEMT3slsl26soMt4cf24TRfe8j5NuxnOEupnFQaikoH3xN35DumNHjxxZ0p254ZP2M/gg6U/3NzwktKorAchX1vyWCM6PF48hqkUQViMwFAMpPY22SDsGyucwYU/gcvUSBirzIHw+L6Qt3C7dE9rvvp9/D6dKJ1D12MH40E0uuNv4aAw1yffcltqJGXtGggfHrBEYSkjctthxqXpVvDbzsgCkG11WIgDh/YHhyMthWQUgy+EorOBtqNtKCoWCmRJ0WvmIHJDf+/rX8e//938vD8elHZAgfTDQNc/bKwVP3nkXrACAmAJALghAoOdUPB5Fkq8YZzxLuHD+PF5+6WWhDbBA3rZpC7rXtqOlMQsa31L/oMx3QagDIQChJa9pWrJOx/VRNR3MFYuYK5QxnctjcGwUrq4h3dKC3XfsQ1d3FzLpDAy9nkauCwjhesqlMg598L48nEmvYM4Gx4TCdGo3QiEDmsYZ4Jo4AfF34iRV82Q8ksmECBr7N29C34Z+mdWjDqRq2wKSWMTwAUQAYlZMzOXm8Pov38CxY8cxPDyMzq5udK5bh47uTnjslDiOpLy6jg215iIbj2J6cgLnz57D4MVhlCsutHAcedNFOJlBZ38f9tx7H1q7OjAyPiJ5IQ3pBPp7urC5aw161mQXOiCBkiVoXIsQnTkgpLSZNp555hn8/u///pIzeiXZ8HImk9bIK335JADSvW4UDzx8EGOjTTi4fxvm5lLS/eDCkEJ2Ru69/31ouofv/P2T1zUUvzifkms5pNHNykc6lZRr1apU5ZyyLQd5T4U4bs/z8qXjZ7sB3VINC8Au5ItwoaIKHWaNtCwfileDIgh8nuutanLt0DkrYmiix/LtGuxqFWHdQzyqIR0zkApp0EMKwiFmcqgwLQ+FogPbNVAoOXJ/QdgXC9j7Gw5e1/4ufjM7E3vvugsDZ8/iEIvuRcX7J6203h0h/ejpL31JNAPsgvDeWnfHengRAHn6y1/G1MSEAOV6mJ9o62Qsgg4zX7z/EERwfV/+zd+UGX7SjupdGa5f9GWGgRd++lMBOBR6cyKDnyOQqhf2fB8L88efflrAALvOnyaCJgBh8c1C+loc5biv3G5uA/Uczz7zjNCvqOl47eWXl7hi1ceTn+G21WlNfC+BBsEDtTH133evWyfAhMCJ9+gFm+R5t68vfeUr0q3h95DCSipdnUZHQCGPpHkt3pmTJwVYEGQINezQoSVjwfezi8Rx5FjRPODxp54SoTvXWQeLcnyZ6WQYePnFF6XLwy4aKXTscLC7Vaeb1fUxBCAEt/x79RNE/Td8Ev8KPpjUU3io8REJ/GMOyGIXrC+3fhUEKEW3KKJxq2aLrS7BwvbkLRiuXkbRK4qj1Vu5NwKAqOigu9YjTY8hpsXxysxLIlwnferKhV0SyRFK7cQd2TvngcrJBaF5PfywK9qNh5seE6Dz/NTPbnivVyIA4YQgaYbLYVkFIMvhKKzgbfioDshHAZCv/maQhL4YgIgrCW/C8+mldQBSf/CyAHd8SFAeAcjZCxeRKxQlFyQSDSMRiyCdiIqz08jQZbz6yqsSAmZVKljf2YW+nm50tbUhRItNAhDPRc0y4dmWdEHIPydFZDY3h5qvCh2LWpCZ2TwmZnIYnZlGwbbgh8PYvH2biD77envFXYsvQ6Xnh49CLocLFy7IQ3l0dBg1l4nrQagiecn1cp2OVgwNdJleThH3/HE39EDEzofM2q5O9G7ox/ZbbkGa9pfhsLj10D2IhQK7G1MTU7gwcAH79x+Q76XbVV/fBnngNbY0wWdiOrNJaswPCVzA4iEVs1OTGLwwiEuDYyiUbUANo2DVkGltwy1796J3yxakmpuQrxQkOyUW1rFhfTe2rGtDb1sgQjd8wBBXrroPFgFIADxZXH7rW9+6Kgl9JQGQlW6/W7+VfBIAuX3PCdxz3wd47tn7MXihXUIIFy+hsIOurnE88fQb+Kv/8C+u6+70/IUmOTfY9TMrZbF+NjQNDem0ZHdUK2XRczHrh10SFmukYfGcZffDNHldaKIFISUL0ThcJgYiDLPiwLI8mI4DBy5cn12FwBbaMHhNhuGzk+L50BUXIcNDPGwjEbbQmE2LWx1BTyQUxcwMJzJCAmxsD5L/w9n+f7597Lr2d/Gb6ZDE4vfU8ePSdbiWonvJuIdCotUgtYbdjXpY30IHZHwcb7/5Jr7yz/6ZzMLXaV6c5actLr+Pr3rSOItsUt5ICSNoYTeKwIgAhK5dBC10YSJtaf9bb4lW4Qu/8RuiRSBVi5+vdxw4AUJROgvz9959F6dOnvxUXccXv/IV2YdXX3rpUy17A/CryvYQKPDA/uKFF4S6xCKf62DxflXBqapCraLVLReCJAq+SRFbHHhIihUBAAt9UsfqnRGef3Qfu/+hhwTgUDtCsEIdCYXhPCcI6vjcYgeEdsZ8H7s6vN+yg0GwWAdjAqLmjyNdhjiOfCY9/NhjotmhVoXHgdQxAk4WguzaEKiQlsdODI8rqVpmtfrh+BuGdIUo0Kf+ZvF33vAJ+xl9MK2npbinA9V3RwlAJhYoUtSABHlWgYti/SnILI/Hm5/Es+M/wIQ9JoGCTCgnYCD4YOAgP/vc5A8xZU2yF/rR4YZQJYPk6ZYvCU3rH0b/HhWvchXNKqJGsTGxCbvTe/CfLv/NDY/ESgQgNGLgubwcllUAshyOwgrehsUdkGDG3xHq0fl5DnN91whA/vpv/loefPUOyMcBED4cODPEyoIAhDOUVcfBuYuDmC0UxJ3KMHQBIJylZ9ggZwTfeesdnDpxHDOTk2hpaMCmvj5s6OlBhDNXzAJh14PUKwIQPlwpBicAmWVasypBaaVyGRMSaJbDVCGPyVIBedtGtrkRO3bswB1794nQPcxZsZqHcrGAoYsX5UFTLOQFDHEmVRLSWezMZ4OwQBcnK2aIzCeay81XKCrktHsoV8pSeGUbm7Btxy3YvHUbunp6hBdMcERKlVm1ZUbzvYPvY3Dwkmw7HcJ6e/ukC9LY0gyN3ykZJ5x1VhDSFSiehWIuh6mJSVy6NIHZXAVVx0fFU7FmXS/ufvgRRLNpRNJJxLMp0Y3AM7Gxdx22rmtDX1tjAEBYXNazQOZBCLsfjmMvAJA//MM/XHJGk29KJzAed44BC426jfFyOvV5vJgmfzMsnwRA7rz7MG7bdRrP/fB+0Xtcuei6h7b2KXz5q69cNwD58ckEdF1DIp4QrZWCGipFplq7SKdJjdKharzaajCrJeh6oFlgurnD89Hk9IImAaQ1XUXFsVFTCVKot4qjagOuFkLFI1XLEnDuurRYZceFInQVhqJBVQm+LUTCLkKqJU5YtJFmpySdTMG2qoEOjLRGSbcJHsiP99348acgmsUzZ8SPHzt2zUF69Q4IC9fde/ZIAVu3reX9lZ1PUrBY+LIwJQAhtYmUJIIL6UQuDjmcDzgkcOEECOlULIB5H3np5z9fYgNLFyzSxqiJ4Pp+63d+R4r3K+16CQKoP6jP+JOC9Em2uhxL0o6ohXiV3YuJiSWZGh8FJDjBwi4Sx5HbQwE8OyAEFQQGpIgtXgikqNcgheml55+XP3H77r7vPgk85DGodzo4ftQhvfHqq0s0GKQ8UTNCFyx2lPh3OmsRaL34858v0VnUXbAIHNiBoOO3FnC2AAAgAElEQVRY17p1Asjq4KhulcuOFc8t/o22udwm6j1+8uyzC12l+vYStLJLwv3l+JPGyw7UYroZ95MgicUjuzikci0WyC+nexYdqpg0Tt3FP419B6PWyAJYqFOkrtze9bE+PNnyNL4/9k9iq1sHJsz6uD29B7vSu/GzyZ9gqDoorlV18HJlwnp9/V9q/QqoRfnBxDOoelfbPzOxPRC+34u/vfzXNzx8KxGAtLW1LQlIveGd/xV8cBWA/AoG8dd5FVcCkLpn+blz55YMy7333ovvff8ZmfEheKgLM4MOSH0JZjQJDPhQBpPFmQdCChYByKUhTOcLsER0WUM8GkZTNiV2uxSAnzpxEh+8/x4uDVxAlDNG69djU28v0py94uo8N+iC2JYEEvoenaRMFAol2F4NpuVI0vrU9BwmZ3KYzM9hzrZQ8WuIpZJijbihr08SwqmRqJZLOEeb24EBjA5flm4IZ3sDUXrQ/UglksEspOMEzl/C1/7QWYh771GHwa4IICBDNC7ZDDZu2ixcZFICjHBE+PMD5wdw/NhxHD1yTPI8KFYvlEroWd+Ldet70dnVKQCH+QbUzVBMzo6FDlfcsAYvDmJkZBbFMueQdXh6FJ39m3DfY0/ASCWgxyIIxSNiX1pzLWzq7caW7jXoJQWL3Y+FUi04ZnUKFilnvJn8+Z//ubwWL7zhUYRP8LGcAQhnMVms3QzLJwGQDZsG8fCj7+Knz937kRoP6j82bb6IO+4+gr/5j0tT7T9tbF4/FxaThkgkDNe2BXCwC8f7AsEwr3vaaCeTUTBzk10S2u8yHMz3SaVhP1SHHokCugr2OthMdGwFlZIP0wujquiokvlNLwZ2Q0it9Gnx60Pzw3K96RrpWjRyYIeOWi1ArzEE0UNI9RAJsbmiIB4z5FrG/Gz/Xd03dvx5v5IOwd69IihmAV2nL33cmNULTF4TdTcmznJTW8AJjbqGgX9/9MknpQCnBuSpL35ROh38HtIFr9RF8D5DuhX1E5wUonMWQQYL4Bd+9jOh9dQ/QzrGHffcg7GRERFn//bv/q4U7qQZ1TvR/H5a17IzwGuE3RcWyB/VkVi8r7TyZXHPQpkFM/MyrtxWvp9jxxlZ7jfF8+wA0Q6X+0sqE8eVn2eHoE6p4mfq2StcBwEKF3Yd2O3gvYjdBnYRuJACxW4Gx69+XHgusotBJyuONYt8jiknSggkqYuhMLy+zdxGHh+OI0EmAR63j9tad7DieO7au1dANT9HajDBCsXrvf39+PEPfyjbsVjYL45XdCg7cAD//Gtfw9kzZxbskusaF4IyUrP4PoJOdsjquSGfdk3+//33OgBhB+R7Y/8oFrhXAoWrAUgvHmt+UgAIxel1AMIuBrsfk9YEXp99TbobTUazPF+p7Sh5xavOKX72/sYHxWnrmfF/lA7IlQu7KUxDXxvpxHdG//6Gh2ilARAJ/GxuvuH9/VV/cBWA/KpH9NdsfXUAUndCEjGyZeHYsWNLRoIn/dHjx+QBEeghAmcYOuV8CEAUASD0xxdhJbm9FDmTguW4GLh8GVNzeZQtW2bco2EdTdkgMI+ajrGRUbzz9ls4efQYaraD3q4ubOrrRUsmI05YBCAaQ/xsS3jitOOlfS4F31XTRrlSRb5UwmyuIEGE47OzQsEyFSCWTEgqbWNDAzrWtgsFq1TIC+1qYmxU8gzYidFZ6dRo0wsptlOJhBQX1GQE2e7kLynyN8kEcT14DlUtCjQ9hIplwnRsCSKkwJFuNFu2b5eCgjN4Z8+cxdkz5zBwbgChUDgQnJcrWNfXJwBkbTe1I6oEOAbOWR5oGaQrnoj1Sd0aHplGoWSLCD3a0ILuDVtw+933IJxJQ4tFoIb1+Q6IjU2967ClqwXrW9MBAJkHIXLM5Nj4MpNMAMIZUVot//jHP15y7Ht6eiTcize/xa5AAjKX0cIE5k+b1V1Gm/uJm/JJAKShIY/Hn34TFwc6cOTQRsn6oAaknoSebcjjwYcPSFL6yy/tva5dPjCgiL0u9RjsahCM8FqlFomUK1pFezpDNmmkEFCnSElhB5CA2vcDK+5qjVkgPLtq0v1T/BCgRFFTo3DUMBxVQ5WmEuxoyow/QT4dpmpi9asq5NdDQhB9NSYght0YxbdhKDSfJg2M9xlI/yMVjci5+fTWq2k+1zIA7C4wI+K222/H66++Kjow0nM44cJCmTPt9aRs/o36BBbYBBIy+z45KUVzd0+PFNx0VuJ7BLgRgDzxhHD+qVHg/YB2sOxCsCjnOhaDBdro0oGJ9wyK2QksaD9Lqg87BYupPdwu0npY2FI3wRl4EVkfPy7vY/eFXQwGHTJQj4V1Y3OziKbr2SMfNz6keDGThCCEtDCuk52Qugie48H7oLhObd4sWg/+jV2D+r7zvvHoU0/JvrPopsaPIIQUJo6T5HW8845sGxd2J1js815NG926UxepbUxS57oJcNhp5jOJWhOOPY8FtSccU34XgSRdxibHxxc6Rrx/UffB8SCo4HawQ0P6FN/H47R12zYJK+S2UsdXp1MR5FDf8bPnnhNheR2A8NzgseG6CI7Y3eIY1DUeddoX9YEXL1wQoEbKGMEKAd1yXOgy9VDTo9Jh+P7490QA/mlOUxSs01r3uYkfIud82Oli5+PO7N2S80HtCBPOw2qQX0GXqxl7GsPmZZS8klC0Zp0ZeS8duB5ofAivzrwsf6/rRequW+3hdjzZ8gW8lz+A9/M3rvtaaQCE5xvNJJbLsgpAlsuRWMHbUacb1YXonO0/vshisr5rp86cFioOb6J8+AgNh4XBIvcr0ZTUAYhGogZE88Gux8DwCKZyeRSrVZmJC+kqGrIpNKZTIuTjQ+71114N3EPmCqL/2Li+Bx1r1kheiObXoDERnWFo1YrMBLLw4XYXmQNSLGGuUMBcsYyZuTxG+WCqlGD6NaQbG2EYzB3wEY2EpXtCakludkaKq3g0Jr+jID3I6WMXBxJeSLvf+qxXnXZFXjH3lVkJGmd8VQNGOASfmSUq7YcZqKYK97itY60UAPFkArPTM5idDF5CP/FqIjpngCAtg7OtrQJAxCUoGoNtmbCqJahKDbmZaVweGsaFCyOYzZfh+Do6+jais28TOvo3INnSIhQsxdBQLRfFtndz7zps6mzG+pZkIEKnroXhiNxJYi1a+7qkX9mSaH3ffffh1KlTS87mTZs2CfAMKGgf2pIuNwBC+lWdG76CL0fZ9E8CIOGwjc1bLuL2vSdw5tQ6nD61Do5tCDxOJivYtfskaNX742fvx1wuKevbdss5bNx0CceO9OPsme6PHZ7T42FxhatRi0GQUDUDsfm8dzMLP1ec0whcCRRoZOUiSuDrK4GlM/VZ5CgrqpxX7IyQXkXNR75swfQCxywtEoOqGUKF5LUsjlviNkUA7sMlgPGBqmmKoF03dIRUIKJ70AhEmLejEig5qJlVyfZ5fEeQMXG9C4ttdgk4I06XImoZ5BrniubdloJ/Brk5FIMTZFD4ze4EBccszknpYSFM0MDQPW4br5nHnnpKNokFLNfN91DTQO0H38cuA8ECZ+f5e15b7MLwRVDN7WLxTC0FaaY8Jlz4GeaAcNzf/OUvpQNB9yaul2BR3MuYOH7unBTqXP/mLVukQP60AlgE4szmmA//I3ghgKBpBoEB723Un7DzweKdY8J7N7sOQo1jJ0vXsYG2tNu3y8w/wRv/xnVlGhowMzUlupi6IJsggZ0XyfF4/fWFLgG7yKRq8ZyTSYZ58RD1GZK5oiii+2BXgd9PICkOVsPDV+lF+vr75fhwPQKuKhXRzxDgsaNCyhXBAkEV79svv/CC0Mp4DNiBWqxBIWBip4qFIbs4fA+73nW3NJ7T/DdpWQRlBFa06CXw5Hcut4XXUFIjAHkEG+ObJOvjQmUAFa8sgOHjlnXRHrHL/fnkT5F3PwwipGh9Q3yjfFZX9eD64VPH98Q9y1ANMa3gRAW7LCdLJ8TKl2L1O7N3YUN8E/bPvS0giEnoHM+WUKu4aZmeiZ9OPSduWDe6rDQAspwE6BzzVQByo2fe6ucWRuBKAMIHxJkzZ66aTX7ux8/h3vvuC9LQtSCMMOiABAhEZoXqqtL5KXZPUYSC5Xg1jOfmMDo1jdEJtmhZ3LPDEBNNBkPJfK+G9w++i0MH38PQhYvIJuJY17EWm3v7kYpGRYhOpje56RSqS5ifaaFCGojjoGrZKFYqGB1nUN8kcvkCqrTsBRBPJuU7g9lGUkJYcDNQzZaHOelWUgApKjT5qUCjw8lisCWFV02+V5yjmENiOVBqLLAovNWhGCpqKoWxtnSKwkxzD2kIMZk8EkY0HIHDFPPJWYT0EDzPR7lqonXdOrT39aJz00bUFI01GWhC6tkOXNcCTbcmpyZw4eJFDF0ex/RsASXLwZadu+dft6NEETBF6+GQJEuzW7Sptwe39KzBhvYsQvPgg5JlFlFy8Lit8wCkWq6ip7tniXUnjyu1M3VnngXgOT9Gy+Uy4nGkAP1mWT4JgNDS1jBc7L3jGHbvPS4i9JnptPxkd2R4uBUH392GiYkGeG4gUL/1tjO4bdcpvPnGbTj3CQBkYDoiTm3MhJEMDod2o3RzglyjBAhlk+ekJ9dvPBoVZyvbtKSTxokEZohohgpdVwKhdU1BxbahqAF40cJhzBVLyM/RUlsRTQcLuNlcDroWFqCihsICYFR40GsOQtFE0IV0LSQiKmpWWeywoTL0s4a4xq6lgv61NwZA6uF1nJ1eLAhnYcyJEVIlJa9jPpOCNxHOupPGxOKYoIEghIUziwTOvpMWxYKZ1wwpRCzGf/SDH8i9hToRJndzlp0dhMCgwpOQQFrMsqgWQD0fhMj1E7QcPnRIgM6CCJtU1Y0bpftA0TftwlnAkzLJsacTFotwFtmyLfNp4tyna3WLEyevRGJhe6nTYOHN5wTXw6KfDlDUtfCeKhpAuiDOu4BRe0GQwi4C9XX8G+8/pDdRN8GOTX1/+Exh0c+uDvNHCJq48PxgN4YdE66X3ZtLg4OS30GdCMeYwI7PJt7bN2/bJseHAK5O++K62dUiGKKTFseZ48SOB8ef5w/XKUYoliWBjnwRrPAnqVYUr9MZbLEInh2w3g0b8PxPfiIdM3bBeB5xu7j9zBFh14TnD7eT48dJvuVIwaK2gtqPJ5qfRmu4VbI3SJU6mN+Pc+WzH3t7pWPW3swdeGHqZ8i7+YX3/dcdX0dCT+JE8RhGzGHMODPiaEWwkTGyoJtVS6hF7HUJck6VT4qDFjsdzAJhJ4bdkGqtKp0VUj2TWhLnK2clCb3slmQS7UaXlQZA2PXjs3i5LKsAZLkciRW8HXUnrMVWvJcuXQq81hctf/V//BV+92tfQyT8oRXvhxQsf2FWTmYx67OFAkAUSUmeKZYwOjGNy6NjEtAXDhmI0Q0rHpOuBClQJ48dk5v8iaNHwLmRtqYm3LplKxqTyUC/wHU7jnRAeEPnAy9fKAggsD0XpaqJwctDGB4dEUoWH3TcnuCB6YlGw7GZHxL4+YuIXDoOCkLhCMLhCKKhiOR98GHG5PRoLCr0E9I9OKPJz1XKFfnpmA6sSpDGTKqJr/nwlBpszxJ6Cl9ejeFsCsLREJqyDVAsD6XpHKIGiz0FFdNCsnUNWvt60bdrJzwWaraPsKvAd1zJ6dDCCiamJjBw4QJGRicwPZtHvmKiZ+MWbN21B3vvux8Fx0HFdSV7pFIsinVxX0cHdvSuxdbuZjqVyhiyJGWHRhQgak0ACB+4ly4MYeetTJz9cOEYbNmy5aoMENHDLKOFheCncdqX0eZ+6qZ8EgDhhwkIYvEq2tun0LZ2UjofpVJMgMj4WLN0PpiCTkrU9SwHz1Tm9VuaFG582LH4iyVjsMwqypx9ViJiQ01NCMXpBovNmiMFVyIWRzgckmujRgWYr0lODjeY4lMtpIs1dSgSFnCkqyEpKMsMNaxxxtwQQO6rBpghFNIUoR+StmnwvqP5UJiE7poyBuyA+CoduYIO0K0d9Xbs9ez1f9l7WVDu2LlTbLi5L8wTog5jMVWKImZeS3Wx9X/ZN958n64bW3DPCNRY7J87exbjV+RR3Xx7vrz2SFcMrI2sFdG4Rq2WV8aoNSq2uaRHLV7YLQl8JCHhgAQhZ8tnYNVM0XGxq0E7Xd6BuA6GEzo1R4IH6/5ZGtegaGBCuq5o4pxVT0UPujFJdES70BZuk8yROScn6euj5qjYABPI/LokobNGYQL6cmIerAKQ5XX9rsitWQxA6k5YnH27Mozwv/3X/xp/+md/imjkQycszv1/GDs4v/sKueBBM8Rly1Vl8eFjcnYOk7M5TM3OiWMvKRWcVY3HooiGw4iEDPHgP370CA4dPAjPtNCQTOKWTZuwpqERSXYTfBblDlxaVHoBACkU8nA4e+jYKFerGBwekhRxFkvi2a4FOR7iRFUxJceDs6mmLRHL0rnQjRCSqbSEnDU2NMmsZDaTQWNjo9AFyFnmTCtnR0ulonCumQRNF66pkUmx1p2enRFfdBZanu+i5lkS5haLhRGLRxBLRBEPR1EzbVRyeWg+uy50FTKgJZJo6O7Chj174KoabMdHqKbBt7keB0ZExfTsNC4NDWF8fBK5uRJKpi0p6J29fXjgiaeQbWuDHo9JJ4jFICMQW9MZ3NrXiVvWt4PMW3aQJIhQDpoQsGDapsx4/+S5n+Ff/sv/ask5vFJCCG8W+9364H8aAPmsbjQDMwnYFl3RHJkksG1HXLFUnQLzQCekRZKi9+AF7tqWJJvrxKM1D5l0Eq7tIF+0RAMSiyZgzztVcZ6S2iYiB+o/eM2SphiLUPiugywvWk4TwJCayGtMC0dgk9ql6HIP0fkCnbFq0qmheJ0W14rG2fgKHt+e+KyG5mPXy+K5ubVVqEqkIZGWxQczuxEcI9JNqefgQnrQ6rI6AqsjsDxGYCV1QJabAJ1HcBWALI/zeEVvxUdZ8dJNiBkVi5eHH3kE3/6HbyMeoxA9SAe+CoAEAgr5GIWjdMGSJHSvhuGxccwWSpIPQOtZdiYikZCAEHZACETGR0ZEGL7/zTdRmJ5GWNWwlc5V7e1Y09AAhbxwaj8IHmqeAALOfHMWn0VNqVLG0PAwRsbHArHg/IwaKQ8UgZumLUGInG2V7ohmQDfCwqVublmD5pZWoQDQhjQai0tbP/DcjwRpyPMcdxYVZtWU9PC5mVnMTE9hYnICM3MzKJYLcBwTrlUFPEcsRDVW/SyuQiEo5LebNlzLgwp2giKAEUF6TRv6btsJJRqFK65CmvDpqdEwdIhr1+zMNAbOXMDMdA6W7cJ0fUTTGXT09kkWSPu6dTDZCSqVUHNtEfDv2daHPVt6BXwYNYgWZN7/SgCI7VDIb+JP/uTf4S+/+c0lx5yzuh0dHUsE6MvNgvdmst/9vAHI0eGogFERlAvl0Atoh56DWCwq2TRKKI7ZXF4mDdgBiYTCApJT8ZjYW+cLeZTMGtRQVPptVYtaJ1JydNF2aKom1+VMuYSapopWKRFWETV8RFRmgPiIR0Ow2N2sVOGQJ66FEIknpKvHjkg6GoamG5ienYOm1JCNe0Kj3Na5NBNlRd+YVzd+dQRWR+AzHYGVBEBI7+OE4HJaVgHIcjoaK3RbrtUJi52A02fPIBFPCgARS9bFHRBxRWL3I3CFokUtAYgEEToOzl+8hHy5Al/TJeNCdCCREEKGjmg0glQygWJ+Tmx433zlFYxeugSnUsWG7m7JA1nf0QnYDny+XIfVkbhXsdg2HVOK6FKlhMujI6IDKZSKCwBED4VEOMuiHSzuJaldkcwNUjsi0RjaOzqxpq0djU3N0PVQQM1id4T2s4Ye6CD4/0xs5pqZdUCHrGoFhXwOY2OjGB67jKmZSVhmBTXThOLYCBsaHNeGaZnQQ1yXIV0Xs0wqCRDRSO8KIdnQjJ4tWxGmy0UkgqqEuwUaEBZdcBxYpRJOHD6BqfEpOJYLQhiCFU/Tsfuee9C7dYtY8VYtE77vobkhizt2bMTe7RvEAUv3AI0HJDDgFXoYbVDZLXr6y1/Cu+8eWHIWrwQHLM7K0wHrZlo+rw7Iq8dpwkBb1cCphgCEl3XIYGK1gqpZRc2IyvXLgp+CdWqllFoNiVhMuoO8n5j0+ud1ooRQrTB2zIChx2CalnRVuFQYJOir0HwXMdVDSyYGvVaFb5cR0VUkomHpvJhODcVycL/wCeh1oDEVFzF21XKEfpWJBR3Vvo7lw4++mc7H1X1ZHYGbcQRWEgCh+xUnQ5fTsgpAltPRWMHb8lFC9NOnTy8kxNZ37fkXnsfevXeIQ4y4IrFIlz8GoXwBncsRAStFp1Qa8EWdw9GTp1CsmgjFEiiWSxK2JyJtg45PYWTSabHWnRgZxesvv4zzJ08iNzWJrtY12Nbfj639GwSAgFoLUkSYz2EFInQW9yyKCEBIvyIAyeXzQjWiW44eDsGrUYTugewRclTZCODMqoCQUBhr1nZgTdtaNDa3ikNVpVqVpPUg7IxFmYFoJIpYPIZ4PIlYNCqdG9JPqpUiRkYu4/LIJRGL2wwRdFwYdMPya6iaZenOqCEdkUQcsVQKlZIJt+JCtXxE9AjSqQa0dfYgvWYNjGwaBU1F1XfheA5CigvVdeGUKjh99ASmRidhlS3Zfgr9Ta+GZEsTWjo70LNxA1INGaQyKTQ2ZLBjUw+293dLkBs7IPUMVQJF17OF2z8zO4ONW7ddJUDfvn17YDqwKANE7JeXkQUvu3X1JOMVfAku2fTPDYCcqYE8cF7HtMhlx44sb9risttBQbpqhAJalU+nLBWVchW6qkpIJ4XoBOqm74jxBNQQXF8ndkalSkoikEjGEaHrnRdBrmRDrVkIwUNMq6ExE4PiWoBHEbwPTfED8W4oItdiSAdiBrNxashmM1D0EMqmKQ54FPju7I/cLKfA6n6sjsDqCHzGI7CSAAgDgXmPW07LKgBZTkdjBW8LAYhY5HlMJg4ShoeGhq5yFvrvvvEN/NEf/bFYMAoNixqK+c5HAEACugYtPBVVFwcsAhCKw999/wMUylXEUxkpGhhopoeZrq1K9gABCPM5CrOz2P/GGzh+6BBGBi+iMZHE1t4+7Ni8GWF+H0P/WNGQDkUxeaUiAKTeARmbGMfYxASmZ2bEEpeuUFrIkA4IAUjV5qy/K3x0zWD3wRDHnYbmFrS2r0VnV4/Qx4J8Ebr7BHag4oyl61KQJ5IpJJktkoxL4F9udgoDA2cxPT2JUikvHRrDrUH3atB8dho8sRF0VUCLRRFKJmCbDmplB0rJRUqPoyGWQUvDGqRaWxFqakA5GUVV9+EoHrSaA81z4VUtXDo7gMnhMeRn5qBpBnxFAyGSTbF9KoE13R1obl+Dto529Pavx61b+7G5r1toNUwvCYsHbzC7zYyHarWMH3z/B/hX/+q/WXIG8xjTgrcOPuoOWMtJgM5zdmKRK9AKvgSXBQD5yeGiTCQkY0nJ5lEF5FcRDuuIiGaLtCsP+rymit0MTjaQ0kigTx0Gu4e2S4c1HRatpplRohnz1qwODINOczX4ahS2o4jNdCYRRSSkIZ2ISEeR5yU1SuKcZbvweI4TEBkqEiEFvltBKp1CsWLCdGsol02xjH1wR/ZmOQVW92N1BFZH4DMegZUCQPjsJQBZbssqAFluR2SFbk9diL44kJAuWIODg0v2aO/evXjuxz+Z10WEpQPyiQBkXgNSqlbx2ptvS0ZHMtMgSd8EJ1SdajpdbCLIpFJC47AqZRx97z0cOngA506eRMQHNnSvw61bNiMTiSFEehcBiFeDa3EGvyIz98wsKFfLmJiawvjEOManJgWA6JEQVINpxRAKVqlSFVtNimBJv6KVJwPQ4ukUmlpa0dO7QYStFKu7kpEWhGbQOYoghmAlFosLAMmm47CqBUxOjODM6ROosLND8EGrVBZlzDxgwcb8jJAOwi6P28KMAdeDWq3BKHpo1BJoCqXQHGtALNsAvakBTmsGZtyAzbYFrXipunUcjA0OY+LyCKZGx2AIfSsAIBXStQi4ElFkmhvRub4b++66A3t278CWjb1i+StCXy3IaxBQ5DqoVsr4H//7/wH/+Vv/95JjTVFtV1fXVQBkOXU/eNyvdGtboZfgsgAg7w+68BwH8XhK9FXBKUdTBV+MGqijYleE405gz4XdEILUIMMj6C7ali+ucmJVLa5XMRG289rQCKjhiADdtOkgV5UcHorPGYjJ7+P5Sd2WbjDQ1Ifna0jE4wC7JYoLje5b4RBmC0UkUikoTkAV29JF3cnqsjoCqyOwOgKfPgIrBYAsR/0HR3cVgHz6Obb6jmsYgSuF6B+XiM7Z/9NnzkoydpAHUg8k/BgKFnUSClA0q3jx5VcxnSsgkc7AiFB4zTKEhY0uVKxkLIZUPC7BZpfOn8OhAwdw/INDsPJ5dLa0CAWro6kZCSMUABCHqei0/zSlA0JHrEq1Ip0PgpCRyTF4pIyEDXH0EVG8V0OxVEGVAMR1EUukpQvCzogRCYvQNZnKSBggqVoEG7QGZaeBhRXD0dgRYTFGAX08FoYOB5VSDsNDF2E7pJnUxJo0qukIM8nAomVoEOpVM1RUFR9Fn10NDTFPQ8Y20OhH0awm0R7JQjUiqKUSQHcr3GwMTkxF1WHuAd2GVIxdGsLo0DDGhkfE9pS0FgYxhuMxEfXmq0WUrSoyjVl8+StfxqOPPYA9u2+bT5PmPvmwmP3hBoVetVzG4/c9iNNXBBDW9R+L6VfLTYB+M6WfL75MPy8K1ulLVTnfDV0XbRDBueX6qLp0sALmChVEwgkBE7w8+B7JfFAA06oiEovKPaHG3qjvIqwFVrqqYQShhLUawjqQCGmIJHRU7KoED9La27ZdGHoYhUJZcoYsy4ER9uC4Jfi+gWQihYjGjiJtuKtQ2WHVVQEuxZlZuR9tWtd4DXe71besjsDqCKyOALBSAAjrLdLel9uyCkCW2xFZwdtzrc7/k7gAACAASURBVDqQv/3b/4Sv/uZvygNfXJ1YXC/ab4qbxfKJxTc7HaqCYrWCn/z8RYxOTCESTyLd0AAtGoZVc4XOwXVFQ2Ek4zHofP/MNI689z4OHziAqcvDaIjH0d/VLa9MLA6FAWksoG0Xjm0JEicAMc0KZnNzmJqZEQAiMYShgArGKVI2NMrlqlCrbMdBMt0gLlgiTmeXgkLzUEQoJXTsIWhhoUPqFUXp1IL4NT+w7tVUEZiHVA+eU0UhPyMdBaa8qj4Q5z6xkCPdbL7YN+IxmCqQd2yonopkLYQ1fgzNXhRrkECnkWW4AdxIGO7aJtTWpOBlIygoVXghoKb5mBqbwPjIqAAQ8u25a67jSby5r/hwfQ+5uRxi8Sh+48tfwhNPPIo79u0BHdOZZQJVlaBEAhDaETN46769d6w4/QdBM+2iJQDzJls+LwDy4skilFoQMshcHsa9kKoo4kf5fx1hJYpSoSTuczRU4OwcH46WY4Ghc+xiFMrM6bHgexUkohqcmi2C8lBYRVMmjniYtEwXTk2XQDwG1Hn0WeBnCyW5d8h3eoQyzCQJrL2pDaGHVjIaEdc7uulVLNKvgvyIPRvX3mRnwururI7A6gh8ViOwUgAI8z+WE/W5fjxWAchndWb+Gq73owIJh4eHMTmfRlsfkqe/8AV861t/JwUCOeGBHW99YSeElUIQgsbihbOjBCA/fO6nGLw8AlUPobWzA+FEHFXXlpBA0i0MTUM8FkOU1IuaixOHD+P9d/bj4unTov3obG7BLRs2oSmVhuq5YMXCoD52QZjHQQBiWQwmLGIml8Po5JiIuD1dgUM3H410Lx1mNdB2kIaVzjYK4GAmCDWzrND5HgpomRsS0EEC8CKdEArvNR0SwkQxNmoIqzWWSIDvih2w6wWdhTiTz0MhsQyupyvH02m4uoYigYpVQ8oLo0NNYY0Xw1o/gXUK902FrWkoZaNARwP89jTycQ9lw0UFjiQH85gwfZjBiBx/iuFZEDI5OZtOoVTIIxIK4dFHHsLjjzyKO/ftI/kLiq7Ki8CQDlsl08Rf/5//Ef/r//Q/LznjE4kE+vv7l7X+g8JzCtBvxuXzAiAvHDPg2FVopC76LnSVPms1GLomWi2FTgZKCdGwJqA9Fo8HydfsvM0FeTwE6uFINnDJUj3EIwYcz0K+XJQ8nZDuIxJiA1NFpeqJ7oxdRS41jx1GBhLSdS6EEN3oGNbJc9t1RW+SjMclZ0fRqBJhQrsO3Q+Svtd3tN2Mp8PqPq2OwOoIfAYjsBIAyHLM/1gFIJ/ByfjrvsqP0oEwS4NuWIsXdisOHzmK9vZ2ASCBOFlCAyQDhFzwQJDOvA2KTRUUy2X80w+exdmBQaFydK3vQSyTlsyKcCwqAISC9lgkgmQsilQsitPHjuG9t9/GqSNHKN7AmkwGO7duQ2umQcTdzAEJMkEcVMt1AMKgwDJyhTmMTE6g6Jiw4MLyXJmtZd4Hix0moROEZLMNYjlq2Q5cmWUNtl/oWm5NOgTksJNyQkstAhAWRrTiFS13zUM2GUeUXRYvmJFlIjv1FRR5czzCuiF6j5rryb7WDAOWosAqmohaKlr8GLrUDLr8JDrdOGJaBDVNwzhsKB2N0HuaUW0OY85wkKtV5DuocRkYOC8ZHhQFc/xJXWOPJmwY8Aiu4gnce9edeOzxx3DXvfcEM8gSXU9OfQ2my5nqEp589DEcOXx4yTFm9gdFb+J0xs5QnWq3jNyvqP2gFuFmXD4vAHLoQk5yZ6LM5gnRZpc9P0+yeghA6HJlw4fJZHJ23xRVrgdxxar5YkzB68X1o2K569tVuT5JcySNq1q1kYwnYZVL0q1j+47nFk2hCeiDrJ3g93KqUUdFS1+vItukqwnY7EyqrnQ9eI2SVmmEFPneW/u7b8bTYXWfVkdgdQQ+gxFYCQBkueo/eDhWOyCfwUn567rKxXkgi92wPsqO98/+7N+Byei0opU8EFUJGh9C85mP2qYgdd6Gd65QwLf/8Xs4c+6CdBrauroEgLgMI5wHIPxUPBoRGlZDKomhgQs49sEHOLR/P8q5HFJGGLdu2YrO1jVIR6OSESL0JoIHEaObKNOSl7acpRJGpiaQN8uoeDZcxZcwQXZtKKSlew87IKR+sJAihcl1Pal6qEeRlGXXFa0Ix4KzvJIOLZqQ+aKcFZJfQ3M2gxgFtI4V0ELYAVHpGGyLzsRQNUlw15jiTmBGu1LdgFuxEXV1tKhxtPkJrK0lsK6WQFKLwVc1TNgVOI0xYG0W6GlAJa4gr1gwXRtjk+M4d+G8WBC7ngNNU2GopMLVBIjUbAcNyZQAkEefeAJ33nuPaEVY2JEiRkG96Vg4dOQw7r/3viWnPIvArVu3Ltjv1gHIcrLf5fGg+9XNSL/iwfi8AMjQpWm5llVdR7FUFKcpisVpm12tVuQ60MJRetHJ+SEic8dFKBIWjYdgBh6buRxSmQTiuiZg2JMQQupKgnsDwUbNqYirFdfDTI9EIgbLJKAkxZF2k77Y9ZbnRrGhtxmTo+OoKZy0MGAqVYQjCspFEyEtjpqhSCbJrk19v66379X9Xh2B1RG4zhFYCQBkueo/VgHIdZ5sq2//9BH4KBrW2NgY+Fq81N2wSJnirCcLYNKSgirXD36wHFEVoTNNzc7hP//9t3Hu/ACg6Eg2NiKaSkOPxxCKRYJ1qAoSsSiSibiI0QvTM7h07hzeevU1TAxdZogHtvZtQH/3OnSvXYv81DSqxRJq9UwQ20J+bk7cqypWFaOTE8hViii7NjQmrjO3I8qkZ4ahBV0Ngg8mM0uooeMIuGhsaAgoSuKsVZX3cPtYgAlImc8/4PZSr5JNZ+edgUyU6MjluVBpU+oxqdyGZzkIKxoiFPRWWYzRiioMzVeR1KJoCaeRMjW0elH0ag1IKhGovoq8ayOv11BJGUhs7YDfEocVUVColjA2NY7B4UuYyc0K7SsSDSPMQBICi3JZgFk2mcTDDz6ARx5/HPvuvluOC3UgBEEWdTOWiX/7p3+Cb/7lXy45tkxbXb9+/Ue6Xy0XByx25vLMeblJl88NgJy/IJMGvmpIyGXZtGHT7pqZ5rqOaqUiDlQ8z3jdUKzO64NghcCVtth8YA6OT6Cvfz0M2GhvziKXm0WOWR2hMOZys0gkIpJ9k4wlkJudRSQagW1bEoJI7RIBCemFuZlZJMLA9k1NuDQwCKitMJLtmCpPAboD2r5FlThstyR0ydt333WTnhGru7U6Aqsj8KsegeUOQPi8pf5juTx3rxz/1Q7Ir/qM/DVf32IaVr0LwiL8xIkTV43MCy+8CAKRIJRQk4JEbHxZSIjrkw5V12DaLiamZvD9Z3+Ek6fOIF8sw/aBcDKJpvY2xFMpRJmNYehCwYrHolI8s4ieHBnBay+9hJELg7DLZQkl7O3sQv+6HpTn8rArVaE3lYsF0YDQZSdw5LFweXwUBQIC3xOQwwDBDwGIBce2pYBiF8M2LVTKZZn9bW1plmKKgITaEqa0ExQRlBC4SOhdrSY0LGov4vGE0Lb4e4IP2/fgcJ2S/eGLIJ1eWWFfg23awp23XA+GaiDKAEIjgXDVR9YNYZ2eRVaPy++hG7DCGsyIgkpCAbJR6Nk4PB2YqxQwOjWBsckxFMoFeOTphwOePgESx4Pj+PDDD+KxJ5/AnffcI8evJjktNekSzc7OYvfe3ZiamlpybLu7u0EL3uVMv5qenpZjcbMunxcAOXd0v5yb4XgSs4UyXF9F2bKhaoboPUj3y0QU6baRYkgHunKlhJbmJhhide3BZwcw3CghoXqtgpBqiTYrHI3AiITk/fFoCJWSjWgkJfcK2lrz2iuVSvJvmjnw/DMrFlIRJp9XMHT+IhS9B7V4O4pKGZZbhGKpCKkpaCFNrse1nasUrJv1mljdr9UR+FWPwHIHIJz45LN4uS6rAGS5HpkVul0fR8M6d+6cFAeLl0cefRT/8A/fERoWiw9J6aRVrW1LQS4ARFVhuS5yc3m8/tZ+HD1+EgMXL+Hi5WGo4Qh6N29CKpNBNB4XVyl6/acl4C8Bxa8hPzOLd375OgZOn8bM+ASa02n0rO3Ept5+OJUKnKoJx2TnIyeAgnxJAqdiqYThsVGUnCpc1ZfiJx6PBRQs1xVXKmYShAxNCibO7JaKRfnOpsbAYphLqVSU/cukU7KPlmWjWCzAsRyhkZCuFYnGSRpBmRQVTZFMjpJVhSPphSpCmiHgI+SpcKq2cOM5s2wYYYS0sGR5+EUbEVtBq5pAWosiabBbk5ROCukllupCS4QRzsShRAxUahZmywVM5CaRKxdQcU0ohgLFUAX0FYp5RGIRPPjIQ3jiqSdx1z33CDiU4+M4sKpVfPOb38S/+bf/Zskx5THctm2bzGovBiDLiX7F40v61c28fF4AZPDwywLWq1YNoCVusYxYIinnLIXoBNxr17SK89zExJhoQ6gZiSeiyKaS0HQFw8OX0di+AdFIFLpbQTk3ganpKSTTWRGR07ls04Y+XBgaQaahWShetLX2vRrGxyfkuuJ1KloyakBQRFNyDsMXR+Cr/fBTXfASCqr2HPyKArgRMVgggNm0fcfNfFqs7tvqCKyOwK9wBJY7ACFFnK/luqwCkOV6ZFbwdn2UGJ2uS5cvX75qr94/dAg963oCkSqFyooaiEepdZi3rCUTi+44g0OjOHLsBN54ez9eff1NmF4Nt+3Zg3Q2KxxyFpYs/vlKzNvxmqUyTh4+gmOHDuPMyVNIRaNY174WW/o3QCFtqmKiOJdHuVQSsNPS2opiIY+JySCMsOKZqKm+hJYl4qR3JQKxq1gH+9J14ayuVS2jUg6cduLRKJKppIi58/k5hEMG0qkk6AxF8ELb0EqpHGQhKEA0noKv6CK016IUkCvIFfP0nBLnrFgogpCvBowRApCqhYpkHEQBjVQtH6V8GbWyLbkgEWiIaWFko1lEVB1RTUNjPIVw2IBqKPBCKhzdR1XxBGAVaQHsUWzvwKElMDsk1RLCyRgeePQhPPHEE7jr7nukg0PnMLpy2aUy7rn7bgxcGFhyTEmfWbdu3QL9ShzO5l/L5ZQmEOYxuJmXzwuAXHjru0hmUgKUS5YD+rt1dvZgaGQYET2MTEMWmZYuhIwIzp0/hbCuwFA8ASitazvh+jZmx4cQjmehGxoMBZidnYZn2ahWXDhe0OVsyDZDp3lD1EAiEkKubIkZBDwLuZkpZBJhhEKGuL3pmvX/sfcd4FGdV9rv9KJRr6ghmhAgegcDxjbGxhWXxE4cx4mzSdbZZLPZbPom2c2f/dN2N9n1ZlP/FDux495r3I3BmA5GNKHeNZKm95n/ec/oitFohEYCzAjm8yNLzNzy3XO/+93zfud9z0GWyYOBPjuC4Skw5lUiYmQ0cgC6sBZBJxcQ+pCZaUbunMsu5GGRvra0BdIWOIsWSHUAwugHoyCp2tIAJFXvzCTuV2wURKIFItr2Cw2L/45tH/noR/Ev//KvMJuMQsGi/lwzmAVL0YAwS43d7sDLr76B3Xv34cjxerg9Pqj1BuTkFyKHgCMrSxwO1hXhsQgUjAYdgr4AjtfVoamhAV1tbTBqdcjLzEZJQYHQr5i6NzcnVzJNsSga07K2tbaju6cHwXBAVkYjKqYGjUBv1MFsNEPDwmjsJwuxazSESQgFfAgG/EKt0uk0EknRafVwOqPpbLOzM5GdlSNRBJfLCa/HK9oLpgxlOh5/MCwpbbXGKACxuVwixtdqDdAzLWlEA21IBZ/LB78vAH8kKuYNatTwBCNwudwI+oLQspR5KAhdWIUsdQYMrLqu0aA0Ix8ZzL5FipVeg4hBg4hODX8kCE/YD1fAJwAkpA7L531uO7RmA9ZsXI8NV2zEkuXLhX5FuhqpMc8/+SS++Pd/P2KUzp49W1ZclOiHAj5SiYNKpzR+HE7ixy1h188XAPGeeAyFRXmwNjUjKz8f3qAK4YgR/SEg7AnAHQjBr8uDUWuB02mFVu1Bhorl0nWwqY3QZqiQFRiQRBNanQrdNjt8GiOKsyzo6eqH0VKEkMcGVUY29JkFKDSGoXX3wZ9VgXA4gky1HT2tJzC7Khd6nRq+sBpuH6A3mFHf0AqzOQs+txuF+RZowm5k6hkB8cHtGEBOtgX9FR++0IZC+nrSFkhb4BxZIJUBSKrrP3hLJh0AKc4IocwSRr4xLE5gp0uDepsGLj/dwDNr9M0uLfdhcVEAReYwbD41dnTo8GabHv4Ql+XTLVkL0NEmEInNhkXqRHt7+7BDEJ0/9vgTqCgvi9J21EzZquTQVEnWKAIQa18/HvjLw3hv9150dHZLIUIjCwpqdMjJz5dsO6wRwIeOzi8zYVHDQHG7tbsH3R2d6O3qgiocgUEdXUUdsFqlEnjN7NnIMJkl/S5BUntHh4hiqd2IgADKR4ghFCqD3iDjjnJ51vDIzYlIsbWALwyjIYhFy9zobDejs5ncdC3cLqecKysrS35oDwIQCl6jqXYjInr3+gNw+XxQ6XUIkcvu9QgnXa/VgSXVDRFqQNRwO73wcV9akZmzVCq4mBY4yNXhMDRhtWhfWOU9AwboIoBJrcGUjDyYtXqJ3EQ0LFCtFd670N5UEQRCQV4pRHCiU2PA7RCq1rK1K7Fi3VrMWTQfgXAwSr/y+XDnbbeh/sSJYfeS4vMZM2bIMWMBSCrRrwg84uvSJDumJ9N25wuAdL93L3LzTcgIhyVCGVLpEY7oYIcaucZshDQ66PJr4XfzuQnB6eiAxusBAlpYI1ros3QoUrsRYoIHLdDQ3oGmXjuW1dags60XRWWzYNQE4Qyq4AxpkRV2Qe8fgMNQJM9RWUYIfmcXphYaEA774Ayp0d7rhCkjGw2NbcjOKUDA68b0ymI4+9qRZdZCrwrDYmJB1CB6ptwxmW5zuq9pC6QtcB4tkMoAJNX1H5MKgOQYwri6yodFRQEQKMQ2px94udmIdzv0CETrUY278Zh3zXWhOi8E+r+x7cVGA15vTYOQ8RhViYJEi4QxRS2L8gUSRkGuv+EGWU0nAGEqTC11CKwSJsn8pZgxBgZs+PODf8HevfvRY2WVbgsMpgzoDEZk5+Ygw5IpoUatjll1tJIyNzPTgqxMi6zI93Z3S8VuRXTOo7c2twoAWbliuXDLKabevXs3PB4vNFoNsrNImWKFdAfUqohENvQ6nVCuWLCPIEuvVUv2La06jMoqDzZe6cSRg8U4XpcJvy8kuhKzySwREIPBJJmj7LYBAUosSEiKFXUhHopx/T4wyyg1ICIy1+igZ8pdyYKlhUHNiIoL/mBIsgoFWJFcBXgiYYSZQUxqbejgYxVpj1+oWJowoIMGOVlZopEJSXHEANSRsFSqtpgykKHXw8BaHRHI2FerNXB6XVAbdahdughzVy5GVe1s+IJ+Sb372uuv4t/+9XsjhgOjH6SZEXxEUytH6VepFP0g9SpeizSecT1Ztj1fAGSy2Cfdz7QF0hZIW+BMLaAAECXVfGy9q/P93uOCJ9/HqdwmRQSkPDOEu+e5kBXV9Y7aHjluxK7OiYGQtWV+XDPNBwO9sLjW6dTg5wfMcAXSUZDxDOZkoyAEHj/92U9RWVEpWaUYtZBVc8YZpCAhYLM78eRTT6Hu6DE4nG5ohdeoFmecxQBz8vKQm5srAuqo46uSh8+SaZEoQldnhwAQClX5w6J+DptDKqfPmjlDAE5PT68IXFkYjYLzrKwMuJ022AesMBg0UsiMFC8K0AmowiGu0uqiNTQ0IdTMs2P9ZXbsfKcMJ49lwe8LS2VmvV4r/HT2y+P1wOlwinCW+zIDGIWyrC3CGiDecBBeZpqieFbN1VkNQv4g9GotDBodnCyYKAAkAh9XmSNh+CIRRLQaqGg7rQ5+tw8hjw/aEARUsM48NTKkthEYCv0oFII6EkGG1iCRESMzcqk1MAxGXbwBL3QmPWoWzMP0hXNRWl0ldUnsbie+9rWvorm5adhQmAzRD3aY4nMC4gu9FeTlIT8/X+638hzK7yisP+No8YVuv/T1pS2QtkDaAqezAOdRvk+6enqGiu2mEgApLCyURd1UbikPQCy6CO6udYMgROrTnaYxEnLvPgt6PZQHj699pMaDhYUjoys8ShqAjM+WytbjiYLMnTcPX/mnf5IIgxQlVEXrgkgmmwjgdLvx8iuvoaGxES63V74nfckfCIlwPL+wAFnZ2XLfFQdTrwCGUAi9PT3o7OiIOl+sfhwIQqfRCtAgcGlra4fV2ie0KAIXWT0wGwV8DPR1I8MY1ZYwu5UAEFZQFwCiFcdepwthweJ+LFtpx+svV6CtxcJSB9Hq4eLwsUo6S5EwDa8Xao1KrtVoMIr+hFuwOrQr5Ic3EhLHUafSQkulSSgMrYppirVweTwCugKqCDzBIPyhMAI8NqMfjDpIFfOA/KgDYWFUEYBEiOVoS1ZpZ5pTOuHhCIwanQjVjZqoeJ31RnhN4XBQMn/NrJmFqXNnoaCqVPr++NNP4IknHh8xICZD9IP9Z/rdi6HFZ6NTimFeqIUXL4Z7mr7GtAXSFkg9CyiRfgV8KFH/8xkBYR9Y/yPVW8oDkEsr/LhyauLIRCLj/uKAGScHtKTNj6tdN8OHtaV+6OixxbW/NuvxSrMhrQMZl0WjGyeKgpCD39raOuJon/zkJ7F82bJoWk1GFljgTxJiqcRpf2fHDpxsaJYCcsyQxTS05oxMzJo1C7n5efB4vXB73KJRYHYphfZFGhSdT7+PtTsCyLI4MNAfQV5eCSwZWdDp1ejpboHVakM4ohWhKrNomYxqmPUd2LD+JObO8+Hg/jzs3F4Kpx0I+CmsD0vfuMiQne3Dxk09qJ7jwo638xAM6MThf+fNItF7CO1JrYlGIEIhASQEQBSoG/U6aFQq+ANeBDQUmIeQk+vH1q09WLbMhpxcZunR4L3teXj0oTy0tOng9qvgDQYQ5Ao304aR6iTaCx1CQWaqCkLtD4ESeQIQZrAKs/C6WiVVzGUlnOlKjUaJemgZafIFAX+0SBy1IhZLBmbMmonK6ioUlBWL8/7d7313hIA7JydHCg+msvaD44jjhgUIL4amABBFh8XnUNIoE+oqqPhiMET6GtMWSFsgbYFzZAFF3xilVCvsi/NPOyazghkpU72lPAD53EInqrKjgvNk2oNHTdjbrUNwnFqQa6Z7cUlpAPo4CtYRqxb3HzHBQ3L+OFqyL/nziZLHcTkT3jRRFISrsUeOHIkW5ItpjDx89atfgdFoGowsDAIQ1gLx+bBn7340NjWjr69fHG3qPvLyC1BaWi7Vj212u2RV8AcCCFJUPag7YVFBRbPBQoM/+cE+PP5kOZoa5yA7W4PaeQ1Yu+Yompu1ePTxEvT0TpE6AtMqO3D3Jw+htNSDUJDiduCZJ0vxxMPl8Hkh4vi8PD/WX2bFzFlOAR8BvwoH92fB2muEbcCAV18uFvARII3KoB+M0ISlf1ylMBkMMGq1kkmLWbEi2hDKprrwD18+KWN+3+4c9HSZUVTkxZr1Pag/YcQ3vz4d3qAafupQCCRIrWINaFLPGL0IhhAOhARMUC4lAIQ0LR5QpUIwwv0iAkBIDZP0x3RMCT6CIai4bTgkNRuqplahYlol8ksK8Ps//h51R+qG3TNew9y5c4VKpgAQZQWIv1OlcRwyXK444anSr3PZj9goiLIQkAYg59Li6WOnLZC2wMVkAcV/i9U7pkLSFVKimYkz1VvKA5CvLHOiKCMs1Jlk2k92W9DpItc9ma2j25De9en5bmTo6MYB/V41WhwaHOrTYn+3blRh+2ggI1nwofRwNBByoYCT2CiIIkh3OBw4duzYiJu0atVKXHHFFYPaiuj6PW8KwcThw0eFKtXfPyAghal38/LzYbFkivNtdzgQDJEaFUJANBpRR18iIhFGK6Ki6B//237s2TcFu3fVYtmyVlx3zV54PCqJYtQ3mPHr3y6C2azHP3zhHRK68NwzudizKxM33NCHVWts+M8fzEbd4SwEghHMX9SPpcttUKkjqKrywOnU4clHS9HdbYTHrYXfp4oWLgyFRBhPAECaly/gl/5QU6Jj9EIiIwHMrHHhC/94As3NRvz+N5Ww9pilEGEYYfzdF49g+kwHPn13DVw+nQAgRnpYsFHGnFo1WE0+gkggJJmEmOFUxhGjHxIpUQkYCcsDEonStnh+UfuHoA5HJBoTrSStQVlpKUpLp6DP1oeHHnloxP0qLS2VUG+iquepNH45BqxWa/KTwgWwpTIPxUZDLoDLSl9C2gJpC6QtkFIWiI2EsGPn+903GfQftFPKAxCKz2fnj8xMlWj0Ndo0+O37ZrjHIRZn9qvPzndiakyU5Y1WPZj5yheXejceWMT+e7S/k3lKYgfraH+nwqBO5loSbZOoOjod8qampoRO4U033STFCZVMSnSOSStqampGb2+fZIIymk0wGI3Q6ZnmM0prIs1KATsSFQgTgEQzUak1mmiWLK0W3/nnA2htKcTe/VNx1507sG9fFt56Ow9rVnfiyk1d+MvD1Vi4YADTpvXivvvK8OorOQgHI5g9y42vfaMBx49a8N//PgvBiAYGYwBafRCWzABuvqULbpcOD/25Eh63mhILRPi/wQlJ7u1gKC9ISgyjENS7CHYIISPDj8/c04I5cxz49j/PRHtrBlQRvYADjTaMf/p6Hapn2/HJu+bD7tSKUF2ABAX7/BHxfbSaPIX21KkMnV9qq0TFx9GICSUgEj+RfSU9b1hKP0YBSMAvNUMKC4qkSvVzLzwHt9s97PaaTCZUV1cPq3qeipmv2GnWd4mPuE10PE+m/c5kXppM15nua9oCaQukLXC+LHA6v+2D7hOZCMXFxR/0aSd0vpQHIKum+EF9hjFBdqrYKyZF6reHzGiya8TxS7ZdUenD5ZX+YdSr3V16PHbCIEW0Er3AY1cWeZ7R/h37XXx/Eg1Y5bOxfivHOt8oO1kbc7v4KAgBCAcfqVjxReHo2G7dulWE9g6ziQAAIABJREFU4MKrVKkFgPR098Jus4OUKq1OD5WGTn4kqm9gkTz64oMONvcj7SpKwwqKrkSv08Ng0OOLf1+HQMAk0Q2LxY1f/2Y6Ojq1qKqy4+8/fxxGYwRlZS489FAZHnywRPQXrB9iNgbxr98/hopKLz7/6YVwuAl+CCNCyMv3446PtcE1CEC8Huo9onG7YSFZ6SBLe0TBA/+jbXTaIC65pA8fv6sNO7bn49e/moJwkBm2tFE9RlYA3/7u+ygo8OKTn1gEl5vjPHrNPA0jRQQztBVhBgX6FMsThCl6j2gYkUAl2gkZt8pnBEeiEYg+PBSq87w5OdnYv38fenp7RtzumTNngqHe+KKDqUS9Up5BZjcbb2RyPON7Mmx7sV//ZLhH6T6mLZC2wOSzQCr5YqSPU5c5GVrKAxAa8a65bszND0IzCqWcgOPpegO2Sx2QZMlaAIsafm5hlHoV2/Z1a/HwMaPoPpTVe8WRSfTv2O/iQcdoL/3RAEiss5oorBcPThQHN9UHW6KsPEpRuESC9KKiImy+cvNQFIROer+Vq9he0VNEwUcYfqaUFX866nwrQjD+pgNOKhbPI2JxrQ4mswl3f+I4Zs0aQH6+Ez//33nYszcLHk8YGRkB3PO39Vi/rhsOhw5//8V56OzUQRXRCEWKtT4+/dlGXHVNN772j3NxvD6Tkgmhd+UX+PDxj7chEFDj/vsq4XJEIxdCbRqMUCj3iIBhCHwQQAWDKCz04lN/04IZM9z48Y+qceK4AeGQVoATx33lVA+++jUCJzW++MX58Hqj1z8YXxkEOVGAITm3GB0ZBGZDKeGkK4P9kVhHNCmrMqbkHg2CEII3btrT042mpsYRw2uyCM/ZcUZuBgYGUv0RSfcvbYG0BdIWSFsgbYEzsgDfzQQhk6FNCgBCmhQjIVdWepHB8g8xTclpT93G/XUmNDuSi4DwmHfPc2NGbnBE4UECkIeOGuAORKMbyf4o4INGpdM71oojV4o5UGKBRizAiP08NrVb/DaKOVIJhSca/LSHko0ntkDhyZMnJUNRfKupqcGC+QtEo8B9HXaHFO2jtoN6BsnwQ23HYN0PJW0vV+5pCwEfpCFFWHWZqXJ1yMiw4Oab67Hl6uPo7TXga19fAqeLYCUEvSGE229rxQ3Xt2DbO4X46X9OEw2HHA8QAHLd9R2461NN+J//noZXXy2EnyAVQH6+D3d+rBU6bQT3/WEq+vsMiEju21OA+NR4iLr+0f9H0wav32DFpz7VjLfeKsBfHiiH06lCOMJUxCowS++Spf24556T6Ogw4tvfngufL5qGOBrF4PUKlBgyYTSycmrsRnFH1C5RfVQ0LXBs/+RZkqhKFBQ5HHYcPXpkxH0hlY1pd5mSOLYAk1C5Ukh4rnSc2g9qQNItbYG0BdIWSFsgbYEL2QKkX/G9PBnapAAgsYZk1OKmGT5MyxkJHBix+FOdCcf6x07De7r0vo0Davxyvx6sKxK7ch/7N/tE4zGtJ50brrIy2xE/Gwt4xA8MOsZ06ghGok5yhvzEZhM6HRgZRvFJAQHU6QZ+IkE6tRtHjx4VDUd8W758OUqKmc9aJXYWQCGOslJbgzqKUxW3o7aIfq8I3hVaFqlCdJqvu7YJN91Uj8cer8QTT5RK5ireM70hghtvbMfNNzXhvvuq8NxzhfKdAkA0mghWrerDl796FC88X4zf/a4KXl8UgOTl+vHhD7ehsNCPP/x+KjraTQiHo7oLbiBgYyjQplCfot8xGvKZzzRg42W9+MEPZuPQwSzqwYXCxesxGMK4+eY23HRzG44ds+C7350nAETGoxLFoOFiwE4UYCg/0a/ENoORj6gGPQpelDa0fTgk47mu7rCM6djGMTljxowhelx8xfNUA8Ecb8x+Nd5ncjJM3uk+pi2QtkDaAmkLpC2gWGAy6T8UH1p16aWXjkM1cf5v9hcWu1AxSmHCYCiCB4+ZcbB39FS8BDGfqXUh25j4Whr6VfjfvTo4fNHVYGXlns6Y3W6H0+kEszglcpjPlnXo6BGEUAeRmZkJ6iLiAcloAEXpQ6o5g+xXIioWgQLteeLEiRFpUnmNy5YtEzvErugPOc0xGouonGHQoY6JtigUKAIJitGvvqodN93UhO//2zw0N5khPjYdfX0YW7Z04tZbCUCm4qWXWMMjGlcQIbgmgqlVbvzwRwdw4rgF3/+3GjgcWulKZpYfW2/sQE2NA7//XRXqT2YgLEkMBilRgx1ORBCkTb79nTo4nVo5b0+PYdgwKi724bOfPYmVK604ciQL3/hGLbxezSlQExf9OGWbKOghSBmigsVqlk5Bj8H7EgUlHNcHDx6E1zs8TTI3Ly8vB+lxsTU/lMhHKo43LhAkiq6dred0rOMU5udLRfJ0S1sgbYG0BdIWODcWYI2qHqv1vGefOjdXl/xRJ5P+Y9ICkGRS8z5Zb8T2dmpCht+801GvlC2bbcDPdqph94ZlBZgODGkcXBU+XyupXLmn4JfODGsuKNmGYrMOJaJpRX3y5HUxyQ/1iW+ZiIpFENLT04OWlpYRB2ZUaMGCBcNA2Jlc15VXduK66zokkjAwoENoMNuZXh/GVVd14rbbmvHnP0/Fiy+yhscp4ZFaHYHFEsQPf3gQOl0Y//f/1qC+3iL9NZtD4HE3bOjBH/9YhUOHsobtO5a1fvSjA9i3LwdPP106BGp42wh6Nmzoxu23t6C42Cvpfb/whUVwuaLA52y0eFBI8EGQHd9Y2Gjq1KkJCw6mIvWK/eeL6VwuFIxl/5rqatTMmjXWZin3vdDwQqGhKCITPfDf8fMf5xaNOqq90mi1UlOGf6fanJNyBk53KG2BtAXOmgXqjh1D3dGjw+adi3EOys3NFT9psrRJR8GiYb+z2oEs/dhBm0TpdDeU+7C5yg/DabJqWd3APz09gMYOq0Q8zhfoGG0QEYBwoBGMkLoVX4FzNL1IqgxKxZ6xehClVgZT8/b19Y3oKgHYwoUL5XqV65soCLnpplZcfnk3/vmfa2GznQIgBBX8/GMfa8Kzz07Bww+XDwMRBAQGQwj33FOPpUv78atfTccbbxRKX0mTWru2F7fc0oq//KUC27fnw+9PvhAfAUhLi1n27evTQ6WKQKeLYNo0F264oQ3hsAqFhT5UVLjxxS8uQnv72ZlkYvVNdDAPHz6cULBN+1OTQ8pVqme9UgYPr4f0q/PZJhsA4TNJqiMzzU103ovSBg0wGgwpqQk6n+Mhfe60BdIWOPsWOHz0KA4fOTJMTztR/+Ds9+6DOSLnXdbkmkzAa9IBkBxDGP+w1AVLXOaq0W7xvm4dHjluFEF5CalX892jUq+UY3TaArjj13XodwUnNHIyMrOQmZ0rmZpI7cnJK4TJYoHP60Z/d5SPTic64POht7MD4XBoQuch8CAIISUmHojEV6NOlD1rQic9SzvFrrrT6VFWWxlxoiidlKz4xkrptbW1p+qDxGWXSrZrd97ZhNWre/HNb84fAUAuvbQHn/hEI157rRC//33VCACi1YaxcWMPPv3pejz6aDkeeKBSTsvPFy2y4c47G/Hqq0V46aUSuN3JC8G+8Y06zJljx1NPleLo0SyJsFRWurF8eZ/04ZFHyoWCRYrYf/5ntYjVz7TFg4/jx49LFCq+cWwx5S5XVmJF57FA90z7ci725xhKNI7OxblGO+ZkASB8Bp0uV8Iox0TtpVDzLBkZk0YUOdFrTe+XtkDaAufPAgfr6nC4rm6IGRKfQfT89eyDOzMXfSYb3XfSAZDRUuee7jYfsWrw8DEDPjzbhxm5Yxc1dHhDuPl/DsPqHC7AjT+HVqvD9OpaTKmoQFFZGdQ6PXKLSqMrfxo1IiwKp9FCpSY9QY1IyA+/zydZnDRaDXR6LTRqFXo729HT0YmTdXWwdrajr7sDPq83KhJOosUCEQ5ChZalUCHiHcVUQciJQAgjIaTMUA+SqHActSBciT+TSMjddzeIY/+NbwwHIFptBGvW9OIznzmJXbtyce+9M0fQqEjDmjLFix//+ADefLMAv/jFDLlDpEoRMNxxRxOOHcuUCAo1Hcm2G29sw223tSAYVA1GQKLRFh7rxRdLcOKEBdOnu/D5zx/Htm0FohXZtKkLl1zSK1EYgp7xtHjbjwY+OIYoOqcOSQEfsfS/VBlL8dfO62P0g471+WypDkA4w5BaymduohGPsezLMaLX6YYy/o21ffr7tAXSFkhbYDwWOHj4MA4dPiyr//GMkPEcZzJvO5nS7yp2PqcAhHqLS8t9WFwUQJE5DJtPjR0dOrzZpoc/rsp4sje+KiuEu2vdMCcZAVGO6/RBUvgmK4fY/O8H0ZsAgEwprUJF5QyUT6lAxeyFyMgyAdoQWM5ao6PDqYJKq0WEPGjmT1XrEFJyD4UCCPJFzxoLatalIF86WnXa5wvA1jcAa3cXbNYe9LS3oPnkCbhs/Qh4mUJ0bDCiZEBgRETJTqQ8jPFC4VRxHGP1ILGREIIPgpBE/H0KrebMmTNhTciHPtSC9et7hIJlt5+iYBFEzJ1rx5e+dAwHDmSPACDK2CEw+PKXj8Lt1uI//qNahhiBSU5OQAAIhemPPVYu0ZVkG+lV69b1YNmyfhAItbcbsXt3rgAQUrKCQbUAEorc2Y+9e3Nw3XXtuOaaDjzxRBleeIGZwpJr8ZqPurq6hLQrJeNVLPiIHU/x2deSO/sHsxUntkRUvg/m7KfOksoAhGCfUY8PCqRJYo3BTH8f9H1Iny9tgbQFLlwL7D90SAAI55h4AJIqvs65tj7pV6mqxRzt2s8ZACH4uGuuC9V5IyMOLzYa8HrrxEDIvIIAbp/thUk7tkN+Jjc8FoDk5hZj1ZotmDN/BcIRL3o6T8JAepU5A1qdhhgDWoMOpAhlWjKhNhigMpmg1Zug1hgQDAOBACMfQUSCQanQzYJvLEjNn0DIj2AgBI/bA1ufVWhZPV2d6GhtgqO/Dz6XAz7SIwL+pJwFakTKysokc1QiIBLrOKbCwzkaCGEGI67Mk54V3xRNAp3j2HBrMtezYIENW7e24sc/rokW9BssXknHnkJ0RkG6uow4ciRz6DsCDAWA8G9qMSorPXj99agGhN+RNrVlSwcKCnx4/PFyWK1xRWvOZECehX2VFW7F3gR31HwkEpzzdNOnT5eKqqPRrpKx9Vno9oQOkSq1P1IVgFDn4XK7J2TbM93JbDJJIo10S1sgbYG0Bc6GBQhADhw6NKkowmfjupVjkBFSUHDmtOyz2adkjnXOAMjaMj+umeZLKPb2BYHXWg2oH9Ciya5BaBxYYmmxHzfN9MF4jgHIbb+og99cipkzFqN2/lpk5xdDo1PB5uxGZ0cDwgQUkQhUGhV0Bi0MGSaQ61xQUAiDKQN6SyZ0GRnQ6s2ASoNgMIBQMCBAgzSsgNS8iNJDwqEAfH6/VPj2uJ2wdnago7UFHa3NsFt74HbYEHC5EQ4GwNrXdMgFxIxB0aLzyLSpStas060MnE9nMlaLEC9MJwhhJCQRCCG4YkE8XudoGcCSeQguhm1ibcy/GWFi5IP0m0StoqIChYWFkxJ8cGW/u7s7JW5rKgIQ3nMCkHFMu2fdlqSpTpZqvWf94tMHTFsgbYGzaoGLHYBwsZkL4JOtnTMA8pEaDxYWBsBIyOka63Y02HVSwfzEgBb1Ng1Cp6Ftn66A4Nk0/tOBS+C1VMFudcLj9EKlNaByxnRY8rJw4uQxtDc3IOLzyimNZiMsFjMyMzMkO5XeaII5IwvGzCwBIxq9QapBBMNh+H1+yTDD1WdxtkNBBMMEIAH4PD54XE7Y+vvQ09GGtqYG0YS4+/sQ9vugikTg9Uez08TSaE4HRBgpqKqqkpoiiapWp4o4fSwQ0tDQkJCOReDB65syZcowEML7cj5B1dkci2dyrNiohxL5GBgYwLFjx0YUGeR5FHtO1sgHr4FpswlcU6GlGgA5l+CDFXjXXHIJHn/00TFNz/mQc1MahIxpqvQGaQukLTCGBRQAwvdXbJbGVKYJn+6S+K7mfBrbTufn0e/k3M7Ft7HaWH6R8j3PN9a2Y51rrO/PGQC5dpoPjILoT5PudrTONdo0EhmptxGQaOGNsemZHHcsY8R+vy37RvRqSuB2eWHv65JSbrNqF6GwrBJHjh9Fw9GD8HnccLtc8Drd0KtUKCjMQ35pEfLy8pGdmQtzRiaMRrO8aHV6HUKRMLy+IDw+P/z+AAKhIAKhAMIRRkcicDndcDsc8DEK0t2JlqYG9Hd1CADxu5wIBQISLZIISDg4RMdSMkiNdn0EHpWVlRIpiKdkxaa0Pd9O+2gghNfHFfv6+npZuU3UmP2BYmmGIsdLyRrPuJhM28ZTrvhvpjlubW1NeBkcJ6RdTUbNh3JBqSI+V/qTSgCEz47UMprAIOYLbsnSpcjJzR2xN6OsFVOnSp0ij9uNL3zuc0mfgZnVTGk6VtL2Sm+YtkDaAiMtMJkBCOdWLqDSP+MP59Gz0YRm63INAxFcfEzUlEQkyndcHOdCXiwAOReL1ecMgDBd7ucXOZETR/VtdqiRZwQydGGJCiTTOp0anLSrJUKyqDCIufljR1aSOe7ptnkv5yp06aeD8oOuzla4PF7MWrAU0+fVwtrVhWPvvQubww7bQD/cLieCfp9kvioqKUJZWTkK8wuQZcmEkVoQgx56nQERqBEMhhAIBOEP+BEIBhFkwa9wCAE62W4PnA4HXDYbnLZ+dLY0orezDbaeLtGBhAJBeP1BhAg+gsEhCpbiaBL9ng4lc5ATVSsrBPECdcUe5xr1ns7upwMhjBoRhIxGG6IzU11dLaHIi5mSFR/14L/5oDPqwbo2iRqBGyNJtN1k1Hwo10Sg2t/ff6aP/1nbP1UACOcGe4LU1slcaEVlJb7+rW+BBUHHas889RSefPzxsTYb9n2mxZLUscd10PTGaQukLXDRWGCyARAyUrjYN23aNGGnpGpjIhdmk2xra0u4sHumvuI5AyA0KGt1rCvzoTIzBE9IjcN9Wuzv1mFqVhB31LiRaUhVswP7im5El24afKxLUX8Cbo8PNYuXo3bZcgT8XpzcuwednZ3o77OKbsPn9QilxWwxo6KiHKUlU5CTmQW9wSACdZ2OF8u6ECqwqjC39ft9CEQiCEcgYEQQq9MJh80Gx4AV/RSjt7egr6sdLns/gqRp+QICQEJBRkGGc9XoaEajI6Nz2Ii2uWLJqIwCQGKBSKqDEDpSjY2Ngs4TNQIPRnsowo+PhJzpw5K6o/VUzxQAx084DvhvTiLU0XDMJWocC4weUSs0mcEHr+18Vz6Pt28qABBGPOw2m8w7421csPjmt78Nk9k85q4cbwQghw8dkoWCZJtapZJVv4vh+UzWJunt0hZIWyB5C0wWAMJFnPnz54t2dTI1Lurt2bNHKF5nMxPmOQUgpzPwByUmn+hN3lP2UbSjGHa7A431JxCJqDB38XLMX7ESOoMOHSfq0dxwHANWK9xOB7xe5tIPiCg9vyAfpcUlyM/JiTp1eg20ogPRQKXSIIKI3EhqQXwUlkfoLEbEQfR6PHAwstLXi4HuLlg7WtHf1QZHnxU+cvxCLNoXLdzHAoaRSFjE8JFwZMjh5L8V5zPR9RNxc7WbfUuUJSuVQYiSqpfgr6OjY9Tby5V8ri5QnBVfOf1CdHRGi3oQeIwWdqXxCEgJ2GJ5s2dzgpno8zeR/fj8JCqkOJFjna19UgGAMGLIuWa8jbTG73zve5LuejyNL5W33ngDzz/7bNKFIA16fUqvBI7n+tPbpi2QtsAHa4HJAEDIQFm9erUs/k7Gxvfr/v37JSJCIKWkPD4Tnc15AyC8AVdU+nB55cR0IufiBjphQVvOYvTkLIYTGbC7XLKi2tfVCb1Wj9nzF2Hu0hXIys9Ff48VTUcPwWbthcM2EKVhBYNS/Zx0lrzsbBTl5YkwnYEPnYGryzqoVdHq2IxiMLpCPYiPwiGCkFBYoiButwuOgQH0EHyQgtXdAae1Bx6nQyhhpGxFs0VFQQhXNsMhgo6oOD0cCctnp4uGcABNHeRtjwZCzrejHp+5SbkeRfPC9LEUp59OeMUVXF5nvDaE92C06+ODZbZkYdUVN8BgMuOVx/8Ir/vsiZp5/Jz8Iqy47FoE/D68/cKjoicaAn5qdbQIpUoFFrssKClH+fRq5BZOEaDQ1nAcXW2NsHZ3SDY0Xoff5x1KTED7MGRKrcdo0TD2gVEipu6Lj4RNVvpaKonPlXt5vgGIcHnt9jEz5sXOp5wb1q1fjxu2boV5AvQA3ocXn38eB/fvRzeLQSZRUJVjOGuw2OW5mNvTx0xbIG2BC9cCqQ5AZs6cieXLl0/6G0Df4o033pDU/fSplIXLiYKQ8wpAeDduq/ZgcfG513SMduc9IQ3qPZk4Gp4KddVKmPKKxJn3eX3whYLo6euBu38AWqhRNX0W5ixZipKqKri9frSfOIKetjY4BvoEgNCYBqMJ4UgIeo0Ghbk5yM3OlCKF/NxgMEmxQpVaLQ5BkLoPnx8uj1t0IZKid5Ca5fa40NnSIgDE0dUBl7UbXqcNXl9g0NEkACHgiP4ORsJARCV+axSgEJhEJN0vz5OocfDMmjVLMtHEroDHRwzO51OjrOwrER0lAqL8JmCjsHq0WhbsOx0qOttcgVCqw5+uFgqd/pm1S7H+2g/B3m/Fc3/+Jez9vcPMwP0t2XnILSiG0WwRqh2zn8U2Fp3sbm9CV2vjMAeQ281ZvBqrr7geHS0n8crj94nmJ75lZGajZtEqzJi7SMCkx+2Q4xC8aDRaWLvasfutl9DZcnIo4kXA3NzcnLCKvHJ8rsAwOsT7Hl+4abKCD9qFUbGxUlN/0GN5LACiYgFTbQgFBQOonNqB4hIrsrOdCAS06O3NRVdnHk4cmwqvd2I1Zaj7SCYzSrxdPnPPPVh2Bi9M3ocTx4/jP3/yk1Gpf/Hn5LOZnZX1Qd+i9PnGaQEmqVi0dCn6rFYcO3p0MKX88IPwfVJYXCzzDKOSJ0dJpT7OU6c3H4cFjGojZphnYkHWIrxq/St6/N2yOHkmzaK1YFHmEpQZy/FS7/PoDwx/b2lVWuTp87EyZzXavW045DgIXziaLfRctlQGIEuWLJl0lKvT3SsuML300kviV0mCJZ1umF81nvt83gHI6QoWjudCxrttd8CCXY487Ow1QqUxIjsnH1Or50CbYUE4SIpUCD5VCA6nHU7rACKBIKaUlmLOwkWYNrcWfq0Bjo52HD98UOhRQZ83KvBVa2AyGaAOh2Ax6pGdmQGTQQeVWguj2SyOKjnP5GXzJxBmTQYfHC5ntBZIMCjpZoPBMKy93ehta4G1pRHOng4E3U4Rr3PV+xT4GKRgRVRDq91SK0QoWSFZfWR9ER47kXNGekUi/n+sfmK8tj0X28emHVZqhcSCkfb2dnnRnU7/MhoQYX+VaAgd8Oz8Itx095dQXF6F9sYTePqP96KvZzjdK69oCtZuvgklFdOg0TIcyar20eiWZBmKEMS68f6ut/HuK88gFIqmcuPxedxr7/icRDbqD+/Fiw/9Fra+niGzsS8ENfOWrcWMuYtR//5etJw8Ar/XI1GRrNwCTKmcgaXrrsSAtRsP/+pHOHniuFDSxko/S1oNNUCJsqEpVVQnuppxLu57ssfkdY+mC0r2GOdiu9MBEI0mDJPJiwWLjqG6pgk+rw6NjWXot2bJGKqo6MKs2c147OHL0dWZP+7uTST6oZxk3YYNuPOuu8Z9TmUHPq///dOf4uCBA0kfg+OOAORsVvPlMXm8GTNnitPMBYv3duxAR3v7iPmQ26YagE3aeB/ghuUVFVi+ahWOHD6MEwnSeXNllOBjybJlklRlz3vvRRMgDKaP/wC7etGeSq1So0BXiKsKr0GRoQiPdT6CRs/JhABEBRW4fZ4uD2aNBRmaDDR6GuAJRaPypIyzaVQa1GTMwRWFV8Ef9uGxzofR5escsrEaahg0BqzP24gFmQvxnm0ndvRvg/ciBiDr1q2T9+2F1kjFYhFj+o8EIXzmOc+Od+4+7wCEN4Zi9btr3SjPDEll8HPVXEEN9tqycNAzBbaQGa6gD8GAH0aNDjm5+SibWQ290YgCTwPK3UfxvmkeWsK5cNnc8LvdKMjPRfW8eZg5dwG0OXkIOl04vHcPOloaESIFJhyG3eVGhtkEDULI0GuRYzHDxMroGi0yLBbojdSCDL7oVKwNEoHb6xOONn88Xi+8/gBCoYik+O1tb0FP00nYOlsQcNoGaVen6FVRZzxKv+LqRtRRj04apGFJYCQCWQVlJq9EKyDUSVATooTU4rl955uKFevUJAIiCjWLXHdSjxxjZPshECE1q7S0VNB7LNgikLj0+tux5JJNUGs06GppwJN/+O/hERCVCvOWrsWl190uEShGwGIpUB6XHS67TUBLS/0RDPR2DQEjoylDIivzl6+HWqPFybr9eOnh38IREwHheUunzsLazVvReOwQ9r3zilDAlGtnHzlOr/nIZzGrdinu/f5X8fxjfz7tY8OJghMhVy+ViSI+C9q5SLN3rp7l+OMSfI4msv+g+pDoPKcDICaTD0uW1WHZikOoP1GBbW8uhtttgt+vBSMjtQtOYMu1b+GB+7egqXHKuC+Dk7vb4xn3ftzh8k2bcNtHPjKhfbnTuzt2YNtbb6Hu8OFxHYMvs4wkBO/JHpRjWqfXY+MVV6BkyhTJvLh3924Ryo+VNTDZc1xs29XMnYvFS5di186daDh5EsHB5Ba0taR8nzoVS5Yvlznv3e3bBewpVNE0wPtgRoterceqnDW4vGATvCEf/tLxJwEVid7/BB+5ujxcWXAV+gJWec+8M7ANzqBjWGdzdbkCaKozamD19+LhzgeHARCtSocZ5hnYWnIrtCoN3u5/Ezv6t8MbntgcNB5LpWIEhEJzRj8uxEaf6/777x+q5aREQuLLOox17SkBQNjJAlMYn6p1o8CcfHresS5O+X5vrx7HIxU47i810IBdAAAgAElEQVSQVVJNKAy1Vo2wKiKAJ0NvxJRMDVYXezA13ARjxEOIgA5tGV4ybUK/IyhOZmaGEdXVs1AzfwksJeVkVuHE4UM48f4BuO0DyMiwoN9mh0YNqMMBZJkNyMu0wGjQQ63RwcTK6DqtrGITFdDRpLjdz3S84bCAD6fLDY/Xj2AYslo30N2BnpYG9Lc1wjPQi0goWv9DcboVejWF6bEZkCQj1qA2JPp3NEOWw+NJWFWcDjkpSko4LbZqOu2YiiBE9C4CwKI/ik2YsYH6h7GoJ4wCMCJQUlIiAlg+PLXL12HTzR/Hoffewtwlq4Xm9MTv/wtet/PUSo9ajY03fBRzl6zBiw//vyEKlLKBRJ6YKICV74NRypygQACLL9mElRuvRcOR/Zg1fxmaTxzGS4/8bpjGxGA0o3bFOlTPX46XH/sDutubBdwq95epZnutVqy98kbc/jf/gId//z+47+c/Tvg48D7y3vJHAR7xv1Mt2pXsc61sx4ghqWep2E4HQEi5un7r69izaw5275qLYECLcDi6AqPTB7Fuwx6s37Abv/vNjWhsKB335TH5QDL6i0QHvuVDH8Lmq68e9zmVHR59+GG88NxzE9o/NyfnrM03nM9Yo4QOc29PjzwDTL6xY9s2eRecLmI6oc5fBDstXLwY8xctwtuvv47WlpaheZYLWIyOLF2xQu7f7p070dzUNLQwwLmIc3S6nXsLzMqYjUty1yGMMHK0uXi440F0+jsSApAcXS425G3EQKAfnb5OVFtm43Xrq3AEh6dsX5u7DuXGCqFYBcIBiYAQsCitxDAFlxdcCVfQiUrTVLxnexd7bbsvyggI/YktW7YI0+BCbc8884y8d5nwR4mExFLck7nulAEg7OzMnLOXnrfF6sULh/pxKFKFjMr5MJtN0GpUUR2F3YlgOASTAViU58Pa3AEUGbxQJyjR9ajxRrR6MzEwYIVOHca0ykosWLwcueUzoDeb0NHUgMN7d0nlcuaz9wWCcLudCPvcyM0wID8nCwaDEVqdXgCIEqpihCKaNld4OfI3q6G7WAvE5YE/DNGFOPt60dPagN7Wk3D3dSMS8A053EOAYzCLVtTPHXR2FQBC4DGYIYtFDAPBgIjrGTGJbxRr5+XljQAhqbYyHpvxKVYbEq8PISWpu7s7medAHqDCwkLMW7QUcxevQsuJOnz4s19FV1sTnvjdz+D1REXotAWF6Yw+kAr1zP0/h7WrLalzcKMpldOFPsUsZ1s+8hk0HDmAlwlAPO4h+gfpVwtXXYqq6lo8+8AvYZcIi08edl4P6UaMgtz+6S/iQ5/4O/zyx9/Gsw//cUQfWNSIUY/Y8Ggs+IhPU5z0RaTYhnS0R6sNc767ejoAsnL1QcysbsZLz6+GtTd3CHyQmpWXb8P1W18TGtZvf7UVLc0l47oU6r5Gq/mSzIHOFIDseOcd/PbXv07mVCO2oRj9bL24Gd1dtnIlMrOyZDWeL8v5Cxei/sQJvH/wIEJJVA6e0EXE7cTrURZKlJc0nXGNVitJMkhZ2rd7t+gIk20KZUzmJKNRMv7l5edLymSFSNDZ0YGuzs4o9bOkBNbeXpnfqwYLjjJa3NLcLGOFUYpkIhSkVtUuWIBX//pXdLS1yXXxOhhRXrxsmcyRde+/j4b6eqEUc/GETa57MMFGNDo/Uo/AvpWUlqKlqWlovqUzx3vIvkrhX68XPq93aMGJqev5/HO73Px8oX0x7bQCLkWvl5mJubW1OHbkCPr7+uTYUjWbyViqqiQZx/Zt24SlwLk2NprK/YWyqtHIiu+ll1+OXe++i/a25Of9ZO/p2dqu2FCCMkMZCC7mWmrxSOeD6I7TgJCJoVPrsSRrKWZkzMQTnY+CIGJR1hK83Psi7MHhqe6pJ6HGY1XuGqihwRNdjwzTgGTrckRzYgsMYHPhFuy2vYd99j3whcefgW+8dki1CMhll102opL5eK8p1benGP3o0aMyp/LZ48KOkh0r2QXrlAIgNPiZpOcNBEJ47agdj+3pxd5mJwqrZmLuyrXIyy+EidSncAh+jwsF3jbMM/dgfrYLRu3p6wLvjczCO5ElsHl8CPndKC4owKIlK1EyrRrm3BwM9Hbj2IF9aK4/LlETg9EgE5zfZUemUYvc7KwhAXpmTpZkldHrtDLRM/JBfQYBCFfM+eP1+WFzuuALRulTLErY3XoSPS3H4enrRsjniabcVehWBBKMBMjCUhTUKEAkGiEYBDphyD78t8fng80VpfTENuFKz5ghL7LYYoWpukIenyUrNhqi/M0oEtPGsRZGMqudtEFWdjaq5yzAl//vz9FNAPL7nw1FKGiLvMISAQ8Ujr/21J9FqK40hQOZ6EXOz1QqtbyIK2bU4PqPf14AyIsP/T8BOMo+BKvl02dj3ZZb8fZLT+H5x/4kjoPyPcGH2WLBv/zXH4UO+Le3XIb25oahPrCmAqM6iUTmCif+dCL8VJ/4YvvHe8r7m4zjdD6u63QAZP2lu1FQOIBXXl4Bu80y6BRFoNMHQHCydNlhqNVh/Pm+a9DeVjiu7lPzNZYe6HQHPFMAQgf/B9///rj6rGzMcWs8C6kq6ewSgK/fuBGH339fnGI6kGsuuUQKxD731FOit1PGjjjyBgPKKyvls+bGxiFHlPMhnVM69i63W4TX8ixROJ+djcKiImQPRm54TDrBfGaZVp3OMZ1cOtB8N8SOVQIHRmdYYX7bm2/KfmxcEMkvKEB+YaHYgg47q8wP9PcLWODfdJKV57iouBi1CxfKfv1Wq2zPqCe33f7226I9XHfppZKZbNr06bIoYbVahZJJwEJdDI89VtSYfVuxejVIw6L9OK/SJuz/mnXrxEbvvvMOWpubR1AiacM58+bBNjAgznuic5EmRwBCMKaABN6P1WvXSqIRAkZeS+x8y3ORDkYbzJ0/H0fefx893d1D0RbOt9NmzMCs6moQGCsAhMegw0R6HgELv7ti82ahDba3to6YU3gc3ue169dLdKexoQHTZ86Ue8xsbwSUo81D7PP0GTMEBFE7QwrguWzUYxg1JqzIWYl5lvl4tPMvIwAIKVPTzdMxP3Mh9jv2odHdgKmmqViWsxIvdD8DWxwAIVUrS5uF64u2QqPSjgAgUUCjwxRDKa4puv6iBSBMvLBq1apzeXtT4tjbt2+X2iAEH5xHOG9zXlEWWJLpZMoBEHZ6vOl5j7S78MS+PrxwsB9Ob1DiGJm5eahddQmKy8qQm5cv1denRZoxO9KEHI0zYbQjkcHeclVgj3YJImq9FBs0mTMwd8EizJpTC3NOPtwOO5pPHEPjsaOw9VthMRtgtw/A47RDp4G8PDRqLfIyMmEpzpeVOLPeIA5+mCtCKhU8Xg+8bi9CgYCk5LW7ffAFXGAWC7vNjd7OJljbjsHR0YaQxzUEPqLgghXnooBECeBEVCqpLSKfS5ERJT2vxF1kohxweeD0eEZMmJyQR8uMRfski2yTGXxna5tYIBIfEYkFIowe8KU7FhBhhqlp1XPwf37+AI4f3o//+f5XoAaQnZ0lD1t17WJsuvkuHN7zDg7seF1oVtzHnJGJzNx8Wdlz2PpkbDDNbrReSxTs8TdXC6uq5+PGu76AE+/vwfMP/gZul0McFNJCSMWLQI3rbvsENl3/YWx79Tk898j96Olsk3tcNnUaPv53X8PcRcvxxgtP4t5/+5q8mBm9KioqEidkNLqVcg8no9A80XhJVfG50tfTAZBly9/HmnX78cKza9HYWCr3NivbiXm19Vi05Aja24qQmenCs0+tR1fX+ETodJIJvifauMr9t5/73ER3x//eey/2DDqR4z3I2agJwvHNlyGF59QkvP7KKwII+PnKNWvEcXzt5ZclOqA4wvyOC0R0VPn3+4cOCdCghoT1cmbPmYP648cF8FL3oCxW0Dnm30yEwc8JREhFoqN9sr4eR+vqxDmnk8psULHzD8+3cvVqWYknCOA+fDfMmz8f1TU14qjTOebxSSXjKiM/o46F0QC+7On8kxZFaub+PXsk6sD+E/TUzJmDdwhA9HoBILQBgQYBIrfnXMHr4irmzh074GAilTEaHXA69E8++qgAIV4DowLs2749e8Qxp93inXHasXr2bOkvAUYsQOb1EQjNrqmR/tFuCgChPQkSuI9Sg4DH0Gm1qJk3T7Z/6/XXpU9MNrB/717J0KXQvXheOv4EKDvfeWdYsgq+766+7jq0tbRg93vv4ZbbbpNriL9P7AvvS2VVlQDG9959VwDqZVdeKe/4/fv2obO9PSHFjPcoNy9PgAsdNYKPPbt2jWXmM/7erDFjde5azLHMwyMdwyMgFJTz+80FW9Dha8ce+274Ql5MM0/Hqty1eLb7SQwEBkb0gRGVrcU3S0Hl+AiI2EilRYWpEtcUXi8UrIsxAnLNNdfIIu6F3rZt24Zdu3bJ3BEbBVHo+8lcf0oCEHZ8rPS8Dl8Erx934y/bW3Gs0y00I6XpTWbMX70eU6sqsbg4jLm6LlSoOqBBcinofGEtToSKsdNdgt1tQYmg5OVkS6SB9TyqZlVj9rwFsOTmwefxoKOlCU0njqGzvRVBvxd6tRpepx1BnwcIc5UqhGxLNsy5eSgoLJZ89wa9IZo9QKsVUMB0vDanA3anC26hYjGCkgW/L4zejib0thyFp6cDPqd9KPQsznZM1iWJipByJSJ0QCXAg3qTaFYmbi00pUhYNCd9Aw45b/yLgk52fGas2PSsyQysD3qb+GhIvD5EASZcneRLjDqR0Vb7CBBm1szH//nfB3DkwG786Bufg8NuG9JxbNyyFbf/zRfx+rOPwuNyYNXGqzC9Zv4QvYArrxq1Bu1NJ/Dmc4+gbv8uASlKY5rfiplz8ckvfRfvvf0Kfv6Db8LWH6UFsPGFSUBRUj4VN9/5WVyy6Vo47TYc3LVdxsqiFZdAp9Nj++sv4k+/+HdoVEBxcZGMp0TAI55qlYogcqLjhaAymVXbiR7/TPc7HQCpqOzE1ltfgcOWgSNHpkGrCaFkCikyQZysL4fLZcLyFYfw9JMb0NOdN66uTDT9Lk9CJ45j5Kvf+Ma4zhm78b0/+xmaGhtPWwRztINrmIkuO3vC51YcV9KR6PhzNZyOuULTm1ldjeUrV4p+gU4nHXk2XrMsMMyZI5kKmcGL8wid4illZbIqfvzYMXk2OebovC9fvRqkOopzPJgGms8vnd1Va9agrbUVb772mkRh+DdpSbEAhNQgbseIxd5duyQCUlpejkVLlgi9iVEbpmYXcGQ2iyNdUVmJF555RhxpnmvJ0qVCMeL+pCPS8eY8QGBBEEO9C/ddfcklYgsCDQIdNgXAbNy0Sa6BWa3Gapdt2iTX9/TjjwtoIFgi4CJQeuett6RfiZ5Jzk8EKwS3jEh1dXQM2YLOPQFWWXm5XDOBknJPGJHmOXmvYqlZBG2brrpKzksAQrBVVlEh4IygROzMqJZejwWLF4vzT+AQC7IYmbjm+usF8HCM3Hr77bJ/IgBCsDJj1iy5B4yWcDxcde21EkXhmHjz9ddlLMUvcDHKxfHG6A6v8/jRo3It57oRYFC3UWOZi4c7HhgWAeHi5vKclag0TsVLvS/AGojamxSqS3I34MmuR4VepWTAUvpKsfrWklvkuRgNgFD/wQjIzoEdFx0Aoab0yiuvPNe3NiWOTwCyc+fOoQgIQUhscetkOpmyAGS09LwHutXY0wm8ecKNw0eOjwjzMrPQxo2rcWNtBhZm2mBW+4b4sGMZpM1nweFACer8JXCHtPB4A2jt6JYXTHFRkawi6QwGTKmoxJz5C5FZUCghfGt3p1Bg2psa0dXaCqNag6DfLcJlZkdiZMPt88JstkhIvbCwQKqlF+TlwWwxizA9FFbB6/XB6XZLJi2704YMYxaCgTCsXa3obT4KZ2cLQm6CrTCCg2J0cbwHU+UNrf4r6Q4HMZkqwvX7wcxYQsuK1ggJBcLo6huQgojxraKiQjQR8aJ05aUwli3P1/ejAZFEgIQvSgIR4T/H8JGlPsq8Rfje//xJwEM8AGFk4vrbPgm7rR8ZlizJYLVr22toaz4pLyLSOxglWbHuCsmQ9ssffwctDceHTKLTG7Bs7aX4x+/9F3a8/iL+94ffgstxauWR4EKJqkypmIott96Jy6+9FRmWTDkGI23PPfQHHNr1NtQIyfhWQIYCQOKpVhdKxCN2XHGFnxGtVG5jZcGaXdOI6TNbYDZ74ffrROtBwXl3Vz6mTW/Dxst34snHNqJ7nACEY5vzxETaL37zmxFUl4kch47cz++9dyK7Ii83d0L7KTvRsaZuoLSsTNLAxlJ+OJ+v27hRnEHFkVT2o5M6p7ZWHHg6wnT2uerNKAYdTo45Hpv0J2oqCCzoFO/bu1eoOGz8vqCwUOg8jHq8/MIL4kCTekNNRuxcQ+d6FelFDod8z6jAgkWLxMHf/tZbGKCWYbDYKN8/jHSwf88++aTQnzhHb7j8cqEdiaZlUOTN/q9YtUroTKR2sT/cl45v48mTQ+9NRd+w6eqrJWpAsDJW47aMCL3x6qtCqeJ8RxBAEEKb0cFOpGWhc8Jrnzl7NkxGo/SX9uTcTHDCe0KAVHfokLxXlXcN7wnPSYDEyI3yOffh5wQrBD68PoJO3m9Gk3kuRR/DKBPtuHvXrmGAk8Bsy/XXS18Ymbj9Yx+T/U+ePDmkiVHuF+2vgDpmeGPEg/sSSJGaxXPGR3Z4fgJegjSCT2pvGG0hZexcN4vGgvX5GzHTPAsPdfx5GACpsczBZfmb8ELPs1IfJJqKV4MKY6VETZ7tfgo9/h5JtxvbCvVFAkCC4QAej9OAcDvSumZlzMKVBVdjx8A7Fx0AWbp0Kaqrq8/1rZ3w8fm88dk80wUeduDtt98WAMJniM8of2J1IMl0MmUBCDuvpOc1asLY063B9lY1elxhqdHBCYKrPcrqvcWgwaVzsnHXhipMzebDdHpth2IcJTXv9v4c9AVN0FMwrtEiFIlI0b/ePhss5gzk5uWK0I8C5OLyMsytXYjcKeUIhALot/bC2tGG7pYWNB09Bq+DXFVmtLLB6fEjpDEhrInAb7MhK8OI3Lws5OfloLigEPmFBcjOyxNqF6CG2+NF34AN/fYBmAwZUKm0sFk70dN0FI6OZomAkOIjGa5iMiMRhih6DylOGEP5GaJmDVKA+JXoQYIQ0XyntQ+B4PDsJHw580GKLVIYy+1L9VX0ZIBILCjhy5zjiS8RrqzNX7oa3/np73Bwz7v40dfvGRYBufqWj+GSK66RxAPvvvky9u98W5wPZbWIgMBoMmPjlptx4x2fwuP3/QrPPXLf0PPIopRrNl6FL3z7J9j2yrMjAchgBCQnv1BAzGXX3ozC4lIBM7wvpZXT5Pf+d9/AgXffQK9QsyJD0Y94zc6FCD5oTN6z8Yh2k5kQz/Y2pwMg1HdodSHotEGo1VE6ZSCoRSjIbEFqEJxsvGInHn1oE7q7xhcB6esfWdgy2WsjAFFq2iS7T6LtuMrNQoQTaWcCQOh8k+p69bXXilNNChIBg4ieB3UeFFEzOkC6zaH9+4fmUgICOrK8fjrD3IaCYwIJhdLGRRkeb+asWQJyCGKoQ1BW/ZWVctbK6O7sxIvPPYcrrrpKnFP2JxaAkJpDAEInmg4qAQgpXaRHMaLB8S3aMbUaZpMJazdskKKqzzz5pKzk8/x0uqm7YB9P6cTU4pwzSvPKSy8J5YyRnJeef36YQFsBTHTQCSReffnlMW/X5i1bUDxlikQZ2IcD+/bJtV+yfr3Qz9547TUBWvECfzontBttvHT5cnH6uR3vl0SM1q4V55+i+FgBOaMsAhIOHBCAowAQRlMYAeF1E4Aw2sV5UaJabrfcb8593J9Asa+3V/qqzBk8L/vLYxAsEzh95M47JbUwASuF7rwfFLmzPwQgjH7QlgR1jHjdcNNNUoyR8z/pfjy+EuXi8amJYb+oO+H2i5cskUgYIzHnumVqM3Fp3uVCq4oHIDeV3CqCcxYKNGmMMKiN0Kl0yNJmY4qxFPWu4+jyd6HF04R6dxT0sVHcvrX4FvgjPjzeOVyEzu95jNmWGlxRsBnb+7ddVACE93vr1q0yTlKtcfw2NDTg/fffl2ynZ6MqezwAUbJhKUL0ZGyQ0gCEkykjIf7gqTSrnOi4at3Y2CirPcuqMrFpXg42z8uBxaRLOtrRFJ6CI55c7OwxwGpziuOp0aiRYTRJWJtrh35/AB6PF2ajScJM/NxosaCkvBzzahcgr6wKIUTgsA1goLcHtu4uNNQdRWdjI/w+N2yOfth9YWizS2HMMWGguQHZJh2yMo0wG/TIMpmQlZuLvMIiFJUUIzMzGxGoYHPY0W1lPm5m3TDBZe+Dtfk4HB2NcNsIuqKCdUWITqxFW5FaNQRKRJAe/ZxgJFaDoAwMJoDh9qxD0mkdGBE6ZjiRkZDY+iCpTsWKHfSx1xwPSGK1IgoQUX7znldWz8MXvv0f2L/rnREApHzqDImEdXe0wsP6HINAMPbcfPFVz1uEv/vmD3Bw9w786iffGfqa4IQA5u++9UO8/fIzIwAIHYGcvEJccd2tWLH+CvR1d0jBwubjh4VbPWPuQtQuW4ups+ZJCuC/PvZH9Pd2DatnorykUx0oJjNJJdom1cXnSp/HqoR+uuunFmTTVdvx0ANXih5kPO1MAMjXv/UtEcyeaXvogQfw8ksvTegwZwJAuDJOkTRpN6QaccWZy1HaQc0dheN02kmJYZrYd7dtE4EzxxS1BXTG6Zgqab1J74kVaNPJ5XuI4IR0In4fqyXh80udAL/n6vgLzz6LyzdvFudaFs1iIlPsAx1vgh3qSxiNXbtundCYDuzdOxQh4LzLvjGSwpXGZ59+WqLTBCt0mA8dOCAOs/Lcsw9brrtOruml556TqEnVtGkiHCe4iaXdEmwxkkHqF7cdqxGAkCrFLIO8Jvadx+DqPvU1dPQJyoZoUIMHJAChw8Fr4XbUcBAc0p503gnGGIFRbMS5S6IjRiOuveEGoUkRxAkgG6TLEdgpAIQggxoc6iuUyIpCXWN0hRELgmJmuWJTAAhtSpBJyiABCO8tgRWpb7wuXgeBD489q6ZGKIpvv/GGXPeNt9wiwIigieCQ8zOjG9TG8P4w+kFqGcEkF/OYJYwAZOf27WOZ+Yy/z9Rm4fL8TZhqqpI6ILFZsG4svhkEKI6gA66QE76wH4GIX0DJ/MwFaPW0wBFySDXzbf1vDfWFAnOCF0/Yg8c7Hx5RCZ0AZG5mrZyX+11MGhBms1uzZs0Z37ezfQDWRmPRQFLP+VzMmzfvrIjkYwEIwYcktDCZhjJhJXMdKQ9AFKeQLwP+MDTb316PNdON2Lq4EFUFFHknV73QGTGjXjsNx8JTYXUDTqcbdhaM6+9DT083NCo1jAYjdEYDIqzREQwiHAzCzMiHgcJxHUyZmZhSXoG5tQuQXzqd8XY4XXZZIXcNDEgE5PihgwIUSNHxBCPQ55VBm6GH39aHiimFyM21gPl3w14PAqEgzBkWFJcUo3RKKXJy8xCIhNDR3QOb3QODyYSg1w17RxPs7SfhtUezOYUCQYSY+oqLerzTkQiCgwDkVPSDkY6YIoWD28keKggFSyIpkQh6B+ywOUeK0mfOnCnhulgqluLUThbnNh6IRM0Q1cMkErBTUF69YBluv+drOPH+Pvz6R99Cd1cn3G6XjL/YzDmjPWS0Tc2Cpfj8t34o2g3SrJTGaNelV2/FPV/7Pt548Un5LuDzCtDjS6qssgqbbrgNsxcsx77tr+HgTmbHsUmYnCVk+FLMyMzG/BXrpRbI8UO78dwDvxpKEHChRjxibc0Fg7EKTiYzAZ7rbc4EgCxYeAybt2zDg3+6etxpeM8EgFx2xRW4/aMfPSPT8Ln6ype+NCENCE98JgCEdCM69aQJsQieQueho8tngw4mfxeVlMjcKVmbButZkErDyAVFpKT7ELTQmadTS5oRr4uOK+cOZpOiBkTqXQxmzOJxCRTI+afjzHM9//TTssrOlflYp5xRDSWK0tPVJREBOt+kTvFdx3NyZZ3nYt95voVLlsjf1BtMKS0VoMgIR+xxOT/wuw2XXSZgg6CCqYcJEBjhYD2U2HocBGTTp0/HrNmz8fwzz4x536+8+mqJMPG8BHhDLITMTAFkU6dNE/0KoxKxYEcBILQRNTXLVqwQx59REQq0GXWgDiN+fuW8SJDAc9GGSorcoQhIZ6cAGblet1uiGUqRSQWAXLJhg9xjRjmU8aAAEArcmaKZQPW2O+4QitqRujqxAylXBBzUmvE+064Et0oE5OYPf1hE7wSBXFkmkGJEjeeijQi0eDyCG+5LYEqRPo91rlu2NlsiERSFP9hOANI1VAeEGhBmZJTq9IP/sT/TzDNwVeEWPNH5GLr8HQhFQvCHo3Q4NtYBubHkZrhD7sEIyCntIr8nAFmQtQgb8i7Dtv43sc++F76LpBL6/PnzUVtbe65va9LHZ9r+uro6NA9mpFP8tTlz5mDFihVJH2e0DS9oAKJMakoWI04otYVBLM73Ymm5HnptcqAjFFGhMTIFx1TT0astQkStQ8AXgMvpgn2gHwN9VvTzp78PkVAkmn7WnAG10QgpIRMOwKTXyWqNXm+AJTsH5OXXzFuAkrKZIHFpwGmD0+2A3+tFy8kGHNm3D/buLgEhfIEEImr4EJE86QsXL0TxlGKEgn44+q0YsPbAH4hWUS8uLEZV1XRk5eWg3+lGV3c/GAJShYIIDPTC3dUIT1+ncFO5GhMMREFZ1IkedKpJxRqKeiBaDX0w/W5MPbyoA078EgnJjz8YQlv3APyB4LDxRlTLlxMBGF9ssdWzJwsAUS4oPgqUiKbFzyhCn71wBW751D+ivm4//vKLH8HtjGo0lGM4nQQjUT4lm4T8B2lvtAupfGsvvwYf+ew/4oXH/oRHfneKC59fWIS1l1+Lj/ztP2HPtlfw3IO/hs/jluMIcFm0Atff8YDntdYAACAASURBVLeoP7wff338PnhcLIIYXfWL1XpQS3LZDR/F/JUb8B9f+cTQ/mc8s0yCA3R2do6ZzSwVLuNMAAgzYV1z3Vt48E9XSaX08bQzASCM9v7Hf/2XONoTbVwR/tfvnIr6jfc4EwUgpE9SjMyV5qaGBokiiMPKlLlE78wQGA7LtVEfQroVaUBcsefKOP9NoTE1GXRKOb+u27BBtEbxzjGBBlfdSZ/iyjznAEllPmuW0HQoSCYFhwBk8zXXCMCgjiRWm0AqEp1crqbTGeexGDlhBiuupBMscF7hwgRX8dlHOraMPNDR54rja6+8Iu8DZf7htnSECSi4kv/aX/8qGgQCEDrHXM2PzZAmAGTGDDkvIyRjNWpbCK7++sILw8CCImiXbE9ZWeLsMzKjiPwVAMLj82+CKe5DYMcIDKMCjA4o7zQlAkLmwfIVK4SBQMddmWsJDAnsaDumGua94LlIq4s9Bu2hABDSpRilYFMACIELIy8cBxShi6aH2cQCAaFvMSJGYEp6FfdlEUYFgMSK1nkveE18V/J4BUVFAsgYLeF9YDphAhCCE4Lec91ydDmixSBoeKjjAbT72oYACBez4gXm7M9080xsKboWj3Y8hE5fx4htGE25vngrvCEvHut6WCqixzYCkCXZy7Eub71QsFgLxHuRABCCD4KQ890YPSXwIEtIIgyc+9Rq+c05ggBk2bJlZ9zNCx6AxEY/7p7vx/ziKCUrmdYVzMQhfxFOhisQ0lug1Wmg01EcHgLrhXhcbvR2d6OrvRV93Z3wut3wB8LQUGielQt9Zg4MPJffBb06uurFAnF5RSUonz4Ds+bMQ2HpdKFpDdgGxBnVajXC8W04egSdrU3obW+X7EakSlE7UjZjJhYtWYriwkJWGYTXZYetr1vqSLjcTgT8IWRlZaNqZhXMWfloautERKOChqDC0Q9fdxM0bquAlWAgKCFinp8TJQEEi4+xwCLDG/yPmhDSsiQrlgJSBlPyyspHWCVRFNLIuK3N6UZ3HwXZw/UzF0IUJH7MjAZGuJ1Gq8O8ZWtx3R33SJ2OR37z7yISVwBLbmGJvPCZajee5xylB6iRnV+ALR+6G+XTqvHSY3/Avu2vD0UojOYMLF+/GZtvvQsHd76NZ/78S0lYoAC6SzZvxdrNW/Hmsw/hvTdfHKIVxms76DjMmLsYt/7Nl/GDL34kmcfigtiGkyr1H5OhnQkAWby0Dtfd+AYeemAzjhyeNq7LPRMROk90z+c/j0WLF8s5x7PQQMeWDtgD99+PV195ZVx9jt14ogCE0VquOlMg/tzTT0tkIFH1bYWfz0gFV6a5LW1GR5dUJAIFrmxzbqVofeXateKYspCd4rwzgxJT9hJAKOCCjiodfzqzBB+Mwjz71FNg1IDONZ1/JaJBcTu1KLQvI8yKE0xgw2riBBt0hLkoRioPIzvMUsXzsZ4H0wsTcL312mvDqo2T1kUARjoXU3MTXBHQsK9cFaXzG1tXiCCAAIWCe/Z1rEYAwugDM3Ep0QRlH14Lr0tJTbyXKW2PH5ftOC6UBRtuR1sxMxdtTEBCqhojGPxOsRF/s38ER7xegjJFR0O7XLlli+grGG0h8OHxCRT5LuQ7TtGAkNZG+zOLmQJAGIFipIsphGkj0uWuv+kmibTQRrzPvMdz580T+zAtM8/FyA3vFYEEAQiBCceFOPAzZwrIYESGCQJI5SNo4rFIxSIgoS7orTfeGMvMZ/y9AkAYAXm44y9o9TYnrIQee6Lp5hlSRJAAhOL0eJBCAHJD8U1SXJCV0LlNPABZKgBkA3YMbMd7AzvSAOSM72RyB+AYI/A4ceLEUIrrWMq8sqBUU1ODxYNze3JHTrzVBQ9AlOgHXyB31gawpCQMHXOOjtK8YS2aNeU4qJqBhn6qOAg6dNBpNNBquQIGhINhqTbOlaXujg70d3XC1df3/9l7Dzg57vps/JmZ3dm+e3u9qfdmyV22ZWyMbTDGGHAM/CE48E8gIS/hH1qA4NBCnJCXEuANaZQECH+CsWk2GDDGDTfAuKjLkk7S6XR9e5m2+36e7+xIK1myJZ3q3Yw57nQ3OzvznbK/5/d8n+eRAWVNUVHXAtDTnQgnW6HYBuxyDuEAQGvIcCKBzv7ZmL90ORYsXob2eYtgGTZyY2MiPA+oKgzLQKmYR6GQFVteUtHFbBmwaliwZhVWrFqJznQaClkHqwKrXMDE6AgyE6MoZQvCZCTbkpKWzawOh/tsmjAyYzBHdkLLDzcQrQZwf9lKVQPMmo2qZQqDwfasmk2nK9rtkhHxAIhryetqFvgdsButSARJXH/3vgkJQ2zOKGxmQbyAwkMHw1O5kE/3aw8FIwQgbG+67o1vl0T0O7/+T/vDBrku2ZF0exc2PvmoJJrTVcxb+HfqQ5atWYtXvvFPMDK4S9LMR4f2HARALrryOrzsNX+ITb9/TNqnSgU3dZZ1XfeK1+GCl7wc9/3w29jwu1/v/yA9eDCoiGZp8TkX4ca3vhufnkEAhLPRU8m4OJXX23EDEAVgTsj1r35QXLCeenLpMe0229OYB3G8CwejL7vmGvmg4mDzaJctmzfjuW3bRKPQnCZ9tK/nelOx4eXgn4M86hNkEPkCyeK81ziY5/pst+LAldqQ8y68UGxYOYNP5p2DfLY/McOCA3+2CvHYODDmwJmDaA40OTPPXmgOUtkGxG17AISDY34WceacC21zOWNPgMT1mWfBHBCCHE7/8L3ohkURtJeR4Q1kCZq4fTI41HVwUM5t8Hi4/xzocrtkBih65jnhOaSAmvUgOOKg2WMmyGawxYntUgQVL7YQgDBx/Ed33nnY+vIzguwMW8n4Gc73InBivZpNI8i0MdSQAJDggM5SXr6K1+LGY+BruD2CNTI/bKvjeSFTTWBH0MKcF9oZc1Lu2aeeOsgNjEwJWQyeN0lnbwpwJEj0GBDqeF527bXCtFDXw1rxtQQcrDXZHLbI8X0IDAk6qAEhqCGw5Ocq60wAQtaF55EsHN+Tnws8Trb3Eej+8mc/e7EyT/nvDA18Wfu1Yq17x/Dt2FUZkG6HF1ooWH9J60vxo5HvI2M9f5KnN9yH13XdDE5bEoCMGMPPAyArEqtwTfvLJQfk8eyjqDiuO9zJXM6EJPTTxYDwXiDoYCo5ry2P4fXAR7M1vzzzliw5IUzNtAUg3kxzc/vV4rSFP1lTQyKsPe863pwN4elqJ0biyxFtbUWpXJJZjEhQF/ChkYIKqAgEVDiOjdF9IxjZO4z8xKToNooNYbcE9ikKtGgCWiwBlf2+tiXsSSgWQUtHB3pnzcWs+Yswa+lSdM2eL9Z1hclJ5McnYVer8gBlMIOi1lEu5TE5PoGJ8QzyYxOYPW8O5ix2k8Y1ChHZWlUrIz82gsz4OHKTWWFiyNS0d3dBCUVhKSoq5QoK4yMoDQ8gmB8S8BJUKarkMQVA62ECJ7HWlc26LVoEIwQllkXb3qbWLGE4iFzIkLi5ITW4ACRfKGN4LPs8C89mFkTes0HpHcvs6Ml8AJ2IbXtAhEnkKy+83AUg2zdLErqXds512nv6cek1r8G+XdvFhYop5t4iveV9c3DDH74TLW2deOyXP8aj9/5YAgm9WpEBIcB46avfhC1PP4F7vvtVSVX3AMailefj2j94K37zwE/x2wfuOejQvG0IAFRVXH7dzVhz6VX4wl+/40SU4IzfBgcPY2NjZ/x+ejt43AAEwLnnbcarXvMAfvLjy/G73yzHpeueQk/vOO747tUvevxTDSIUIKBp+LtPfxo0ozja5ft33IGfHMUg9oW2N5UgQrY6cWDLgaqn63ih9yLbwIEyW4Y4i05WkQNIsh+cPPKcrQgsOAvOgTcFxRyscnacg07O7DN/ghM1FLOTPWGYKAe2fFZyUE8dAdtzCBz4DFm5apVsmzoPfuegngN1Ah9PZE0wQbE3/06hNSfNqJ0g4Hn4/vtFM0YXLC4S6sfPK02TQS81B/z8ZEsZB9L8mSnhBFVkSPgeFGXzk4Dvw88k2tCSyXmxhWCF2/j+7bcLaDl0kRZUXRfQQNDDnzlgZz2bdVusGzNXli1fLnXgQN3LMOH+UsfDVj7qY8iq8Fh4Xqih4Ocbr0+eby5sHeP6ZKRpZ8xWO9aeoI/vT0MCAi8CHZ4zAkAesxcuSPBDBoRhjUygZ0sXj4OAlswLBbwEgDzHdLViWjoBKzNEGEBJ0EPWZb8F87XXymCQ1xRBCxeyUQRcPE9k3E7mwtTyhEYAcg2WxJZK1seO8naUnZKwF0da5kbmYW36Uvx09G7k7IODCNlVIQCk+2YwyPCno3dJiGHJKYlWhGOhgKJhRXylsCgbi+vxePYxEbrzfU/mMhMBCO+RXbt2YfPmzcJsevdOM/DgNey1zXsupgyaXr58+ZRPx7QHIJ7wnA/g7OQ4/u7aMOZ3RqSXdzhn4ecbJvGs2Y9CpBvtXV3o7umFHgmLhS1v/lQ0gqDC3jcgoAegBQMo5HIYHtyH4kQWZrmCSqkkyeUUAYO2fRyMawFADyEYCCIABcF4HL0LF2D2/IVob+9GPJVGz6IFaO+eJTdcMTuJPFkUmZXREKBmRAtIQBzT03lxTO4bQlABUt3t0leq2XXRdpiaCTufQzGbl1kspmdrCh+QceiJFCxVF8ZmYngQo7u2I1Ach1ozEdJqCAcUhNhaFghCCwahqAQGLkCT9qta3W3Tssm21GRG1KKY33bcNqs6tfB1MDue/zGcsGY52D00gbL4sx+4RtnaMG/evOdpQbxB85Sv5jNoAzQbWHTOBbjxj96NvTu34Yff+CJyE24vtjswC2DpuWtl4L99w1PY8LuHUS2XpEWvq28OLrrqesxesAwD2zbgnu98BdmJUdHheIsejuCci67Ay2/+f0VATgBSyE7sBygt7V0CTrjc/6NvI5cZP8g5x+tnb+3swWve9h7s2b4JP/vuV8+gCp68XTkbrHebj/5oAYii0GqVHngHbrqly3fi2lc8irt+9BJs2zIHL33ZbzBn7hD+86s3vmiBDdM8KGn6RV9whBVefeONuOE1rzmql/P++ND73z/l9jjOHjNd+ngWuhjR2YpiZbGwfZEsFLIbFA9fcvnl2Lppk7AG1E9Qj9Es1uaHN5kCajb4wU8mg4NTtklxUOsxwqLvaAQpEoBwX8hs8JhWnHMO2tvb5e9e7gef+VwITtiaQ4dHtkvxdbR/5ft6E3IcLC9ZvlxYj/vvvVee7dLyxdwBRUF2clIG59w2GUKCkVg0Kq1gBBlkVGiRyx4C6hHYWsb9JnPDgT5F2EfDWpHNIcvyozvu2B/u2HyumnVqBA6sGQESgRvZC28hAKE7F7WRbFmiFsSbveV3tp0R6HDf2ILFzyC2ShHIcGzA2rzi+usFRPzwzjsFjBE88Pi5DxL0q+tSB9ZQdJMMaWz0wnvPcx4/wRffn+CTGh6ZwIxGZX94HWxpZLQQsPL4uT6zYQgoco1keU93QtDDYEcCP14nXgsgASv1SZ5V8PFc30f7Gl3VRftxXcer0BXqkkyPCXMCv8k9hm2lI4dNssXq4pZL8LOxnyBnu6z8/vOlhnBe6gKx9g2pIQEf1ID8dOxucdKisD2iRUR3wvR1gg5a+e4sb8eDk/cf7a4f13ozDYBQA7l+/XrwO8edzflfnuaDv2sGH97PDJk+EVkl0xqAiNNTw/mKD0VSTGtnB3DZwiQe2JLFw9ty0GMpzF15LiKpNGbNmY10e7toHrLZSZRLRbQm4pIGrqqKABAOAYf3DqGULUrfUo0MAYP/8llkKUL3AAg0KIEggsGAPLha+2fjopddjUUrVks2h2XaaOvqQLi1C1apjMzwPmE7YqkEWruZSB2GChUBNSAPMGoF8uOjGB3cBUVTJP1csZlnYsIJ1qGaVVgVA8VcXsTOZDjCYR31UBT1YERm06gpGdj0LJx8DmrNQjhQR0zXEAlp0AMqgkG1wYi4QnH3y3V9IdawnZoLRExbdCO2TW1I3dWOUAdChsShtsRBoVTB4OjBLAi3Q/ESZxe9NqzpyIIIwAgEMX/pObjp7e/HyOAA7vrWlzExsvcgxyyyGJe9/HVYtOoCOLa1/wMxFI4ilmzB5OgQfnHHf2HX1vX7Raf7AUgojGXnXYJX/j9/ioEtz+Jnt38d2fERNyqSLVxBHQtWnId1192EoYHnhAkZHx7c/2Bm3ecsXom1V92AcCyOO7/6ucbrj+vZfda8iM8DzkSeTcvRApATfUwcaFEDMNWF7VCfvO02yWl4sYWD57/+q7+acjJ9MpGQZ8zxLGQayJBR9OsNMF9oO/JhTY3BkiUySCYgoDMVGYTmtHBxARQjEl3arWiZS51DR1eXJJ03vx9zLshwiK3sI48IqDnahQNcujJxcEu2whu88nnOtjg6MHHGXYTkL9Beduj7ea1pnJEnm0LAwjBAfhdnP8PYL9x+sX0l20Pwwn08XOI595X14nb5M93GaOdOZsJjA/geZBNectVV0i5GwMjj4TnzXMZYPwKzzs5O+T2dxtY/+6ybudSYDKK4nECDYY8nYiGA4fGRheP1QL0JvzxwQcDa1dUl1wbvL+4ja1fmPjXArriQ9fWJg5oMEC3384EL95U190IrT8Q+H24bDATsC/eBegxNCaDilDBkDGGgvBOT1sHhrWRL+B+nPti2RRCytbRF3KvEwl9GTgBBzerEufJ33jds0dpn7MO20hZxytLVECJqGFe0XSUAxa7bImTfWx3E7squk3Wost2ZAkD4jKWlLpkP3l/NAvPmVqtm4NEMRPgzJ5LZ0TLVZVoCkOb2K960fMCR5iXNdOjDrmfufLTPmod4axv658xDoiUJw6wiz9nkmoNkNCJtTrzh66qKSrWCydFJMBmczAgTyiuVEkqlgricsNVJqdEdgx82/FKhBANYfvE6rHvVjZi1YCmUmgq7XEVQA+xIBGNDwxh8bjuK+Tw6unukxaqlrQ16SJe2L862kFXIju/D8K7tKGYmAdNAzbRQrpbpWwcwXbcOYV9sy4BlVEADmmpNhRqJSVI5AciODc9ikv2v1SoCioNYSEM8EkI0oiMSDiKkKwgSjGiknxUJVAyoBCJEwgEoKmeCFAEb/CqbJqrSqmWJAN5xXHtftmtt2TWCCrUgTVcpA7D48OWHsHeBeyBkqhfzmfJ63tBswaIG5Jo/eBsqpQI2/PZhZMaGMbyHafdeEq+KWCKJ1ZdchSVrLkZ7dx/4IKeWZmDLejz80+9hdGg3bOuAhSGPkdsPR2I4d901uPyVN0tr1+bfPyosyd6dW+U1sk40jtWXvBQXX/UqFPNZ7N62QfQk1JvMX7Ya/QuWStvWvXf8l+xXsw7lTKnlid4PsprSanIWLacLgLBEHOx5ltxTKdknPvUp6YF/oYUTLZ/59KelH36qS7oxMz/V7Zzs15N94ACYTAvdpXhtcuBJBoMDcLbxcPB6uEH6kfbNYwXoSkWQw0F3PJkU1oMaAjIjdPbie7LmR7uQiaB2gS1gzUnoR/v6E70ePzfIbtDFiqF8BDPNKe4eE0KAR9aIrAaBE4+b7XKk5zkuINjjQlG9v8zcCkx3AMJnC4EHwwS9tscXarU6FIB44IRXCAEInU2nukxbANIsPufDm7MInPVpfuByJqJ34WKkunrFmaqtu0+oZqNaQn5yDMlYBCENYlmraJrM9ucKBVSLhjAQFD6w7apaLaNarcgDjv27VHUHNDeIkGxKa3cPrr3pDVh+0WVIttP9qIZqoYAyPeF1XdiJPTsHMD40jFQkgfkLFyDWnkYwEUI4ERXGIBRkAFMJuZEhDA/sRGVyEmaphFwuI0J0hQN9x5HZEWE+ahZD0VGs2qgFQqiaJkaHBrFr6yaM79ghegIqyDlnoSpMewV0PYBYLIw4v8I6Iromv9MJPqgXURURd0ofoKrJrB9AhqYOm61gbM+qEpCZKFctDIxMYniSlPgBCMI+aNJ3biZKYD8I8QbWU72gz4TXsz2CzlKveeu7xUqXWhnbtmBUSnj8vrvw2L0/clulxNZTRUDXJR+GgDWaSIqdLkGLWW3KVCEAbgwWCG6WnbsWL3/Dn0DXuf26bJ9Wuw/e9T94+rFfSRn4HtF4EisuXIcLrrgO8WTaBRn1ugCSpx/9FTb89iH5We6L5n65M6GQJ3gfeIxkP45mVvsEv/WUNnc6AQgHa5yZnery2S98QfrlX2ihFey3v/Wtqb6VPFvYNnQ2LAQZdKaiNoFiZd6zHERzRp+iazIfR9PS1Hys4s4Vi0mrFUGf14LFWXZqWijwp+j6WO8D7ifdnii2p87DC+M7XXVmOxLrxjarXz/wgAArb/EYkNO1b/77nn0VmK4AhCwHJ9+3bdsm41Pe956Wo7nVymM5mqMSmiMTmieK586dKyBkqsu0BiAe+0EAQnV/c84CCxdNptAxey5a+/rR3tUjtrV0rzDKRRSz4+hoTQoLwn5XDg6pfcgXCqjVaWuriEsUB33FfE769y3LZDYgFJKRAQ3iHxPQsXT1ebhg3ZXom7sAejQOw7JFR2IUyzBMW4IMh2jlOzIM1aYgMYxYWxpds/rR298ndpCkaeMtcdGbZPYNIzs8LJqCzPiwaDvMQl7YGA5Oqf2IJ2ICHnKlKoqmg4phYHJ0BLu3bUZ2z04YFVLVDhRaYBEoUTwPXpgEGQoioQBiER3RcAiJaEh+Dgc1sTBW2WsuwiRFghcFGWtkahhKxHYtBVWzhrFsCY88s+15uSC0cCN1Pl3bsFibWKIFqy+9SmpDsDc+vBfDu7dLe9yxzDoe7gYnwKE4fcX5l0kvOLNjyHqMDO5EpVw8qGfd7aVWBdj0zlmIRKoV4yODGN27W/aL4JqMy3QHH6wj2x1kguAsW04nAOG1mjvKVqQjlZXX4L9/7WsiuuakBa1FD12efuop/J8vfGHKZ4bvlUomp5Q/MuWdmKYboOj6yquukkA9iqdPt4sc29i4P2ToyBRRZ+EDkGl68Z2Cw5puAITj3h07dsjYl21XL+RsdTidhwdSmoGHZ2DDxHYfgBzmojz69isFLT09SPf2obWnFx2dfdCj7gydUS6gUsigLcW0cRvhcEgACNuJiqWyCAnZlmRWKihkMxJGaJTLCATpIuUOwJlErgSDaOnoxopzL8S8RcvQ3tGFuqIiXypiMpPF2BCdtAaRnRgX2126a1EITjAQDIYEeMybOw/zFixA3+zZaOvppG0VzFIZufExTI7tw8S+Qex45ikUsuPCaHA/Y/EE2jvakUzGkS2WMFEoo1Suish9aGAHckO7US4WRHcgrl2NvA/hKUTo7MigVVNdbUhY2rR0lxUJBRDSNYT0AMKcuVcsaTNjfgnXp4CdbVs1aKhaNdz7+CaMTdIa+AALcmgbVjMaPwXPGf8tZmAFeP2R/Zgq+DsdpTudAESAW6FwTC1Ah9aIs2Uf+djHJBn6y1/6Ej76iU/IrL88bup1/PIXv8Cd3/veMc/0H+5c8FlCAOIvJ74CtAtmECFdoijqpiHJoYb2fMofmmt04vfEZXf5uUhrXLZVPfHYY6Kh8QHIyaj2zNjmdAEgfKbu2bNH2q2oZTvU2cpjPY4EOprF6F7uhwc8vCvBByBHuCc8ANLsfsUZm70N1wvvZRzot/bPQkt3DxgKl27rQiiWkAGKUcrDKOYRC+vSnpRuSUENBMVJqlIxEE8mZOaf1rsED8VcDo5pIRQOocrsDLIKwQBiLSn09M/B3EXL0NnVj1SqFTXUMZaZxMDALmx5ej1Gdm2VViw+yCPxOCKpFjiKCttwwD7mefMY/rQEc+YtQHtfD/RkDGqtLiCpkBnD2MBOPP3Ag5iYGAFFIEy2FgDS2YG2tjRyzCvJFpEvllHIZDExPIT8yBDybN2qlKRty62ZFxbGn2s08xIgRUCiKDXomoKwHhAAEg3riEXIikQQClLsHkQoFIROhkSjfoSuYQE2d2H9jhE8tWkPLPuAdzidSDgo4QdaM93Hc3PohT4zHn3+UZ7sCrD/lfqPs3E53QBkqizI1ddcgze86U0yQ/3hv/orEday1dUDILRVPdZ2oMOdRz47KD7nM8VfpncFeK7pNsXsE7aqeZoWH4BM7/N+Mo9uOgAQAo4NGzZgcHBwv7PV4UTmLwQ+PAc67/uh4zI+q30A8gIApNn9ijQURTekoJo/5CLxBFr7+5Hq7EIi3Y5EohWRREIG35ViAWapIPa0FGJ3dLRDDQRQKpbF/SkRT8A0TGQmxpCbmIBZLrs5IcEAjDqghcKIp1vR1tmJ9i5+9SHd2oVYLIWaomFkYhzrn3oKv73/QVQmBuAYhgRVRRJJRONpOKouzlLtnZ2Yu2C+y4D0zUFPf68LQKjdqFlwKHzfuRPP3vcQ9uwbRLVuIBANIZ5MSXhVOp1CybSRKVaQIQhhXklmAsXJUWTHR1Eh62K7WhCXoHBdLKRO7v/kZ2Z7UH/A1isGMZIViegUrAcRi+qIx13dSCwSdBkSEbGzJUvDZMHAzx/ZhKp5INCMFz89pCORyEEApPmCP5kPGn/bM6sCZzP7wTN1ugEI94Htq1XjyN7/R7qi2G71x+94h2RYcKGj00/uvvsgK9UTdTVOJfvjRO2Dv51TVwGGClLjQtMChi82C/X5WXIiQO2pOxr/nU53Bc5mAEKzECaYDwwMSGvkkZytmnUehzpbNTuSehPBh5sQ9gHIC1ypBB8yaG64X/GhRCqqOT2VL2/p6ERrXx/i6Q7EUq3Q9SgiyZjYxVUKeZjlIuLREPRgQNoFeHLIgHB7IT2MsX1u8F85nxOdSDQSkUTwWEe7iM6jiRQi0Rha0y1ItrUikWpHOJKG4SgYn5zEzq2b8fjPf4Hi8HOw7KqkkdOiMaSFYTsBaIkU5q9YhblLlooOpLurWwKl1LAKhcGGjgmtWoUzMoHJ9duxftsW7C7sgx2EABCyNBQ1UsGSr1jI5YrIZ7Io5TIwCpOYGB1GKZ+BYzGrgzoARX/NowAAIABJREFUBgm67WPChtRtsfKV9ixJFqC+QxCJ26YlzEhdQhrJfkQiQSRiIaQTYbQl48IesS2LF/BdD25AoVQ9yA2LFm60YRRrSo2tW2RNqFc4ckr96X5A+e9/dlaAjh+cgDhblzMBgPDWZ8YBJyOOtPDepQCceRVMz2Yi9OH0Hnw9W3i2btnyvE3xA5RJ4Yfq9V7s3NEpkMyq//x4sUr5f/cr4FfgcBU4GwEINY3UeGzfvv15zlbNAvNDGY9mB9LDAQ/W50jPUh+AHOH+OZz+g/Q+8z8OnR1J981BS1eviHPjLa1QdQ2plhQcy3RbqhxDcjFi4TA60+3Qg0GUTQsls4pixcD49gHkx8Zg2wb0UBDxWBzJUBxdq1ehpbNTRNnBQAAt6VaEI3EEw3EEQnFA01ExLIyMjOHJ3/0O+7ZtgJHJwGF2h1mGFlBg8nU9czB/yTno658rQVE9s3rQOWsuHK0GtVqEXsgjlK8gmrORzph4cmAzfje5HeNOAXo4iHAyDk1AUUBchBlSmJ0YQ7FAvUoOxUxOjpOOXzXHFuaH9XMdqwg46JbE37kzSfx+uEXVCFrc7AmuQUAS1QNIxqNooYNXNIQdg6PYN36wG1Z3d7eER3l2vL4OxP9QOFkVIC19rE5CJ2tfjme7ZwIA4X7zGUo9yOEWioEvufRSsdhm+JrXO3w8x0vA+NADD+D2//mfo355Ih6XyQx/8SvgV8CvwPFU4GwDIDRVeeCBBySkmkuzaPzQPI/DtVw1syTNYOPFJnF8APIiAKRZ/0HhKe13PX9wvjQYCqOlZxZSHd2IRBOIxmOoqXWkWtPiClTITkqWBtuKWhJJpOMJ0VYYTg2ZchEjo+MY3b4D5UxG2pLCTIptSaG3fzYWnLtaQuBUCYMLCviIJtPQQlEEQ3GogZAIwnfvHsTAwG7kMyMSQlgcH4FVzkOBg5oWRFvvXPTMWoj2Tqazd4nncu+sebA0G7ViFvWhYYSHM+gsqpiNKHapJTyc24Gt43tQqZagR8PQY3EoWgi2XZeAQgKQUiGDapEJ7lVpNaOLF5PW99eHKIIkB8EHjYTl5wPgwwN5B06B277lacy5pkrzLwIwSVh3AUq2aBxkx0sXLB4TdSB0w2oWPh3Pw8N/jV+Bw1WAzCeTz8/m5UwBIKwh6X3any5bsQJ0s5s9Z45kS0wFcBzp3PCD9ef33CPJ2y9kHkD2mc8Rf/Er4FfAr8DxVuBsAyCcVOPYduvWrfsNVg7HdDTrbF9IYP5iwMOrqw9AXgCAePkfnK3jF90A+EHW/AEWiScR7+xDqq0DejgqWga7bqFVnFnqKGYysMwK0ukk2lpaEQtHoIcjsFUV47ksBncPYmL7TlRLBUGd6XgKPR3d6Fu8CB0LZ0trErUSIb4uEpe09WAkATUYQR0BFPIlDOwcwK5dDJmriJi9UsrDMZiEakFRA0i3diPR2oFkSwu6erokO6Ovdw4czUF+Yh8yW7ZAGxjGbCeCeYl2OIu78JxWxtbh3di7e5dYjuqRCCLxlCSY53NZccEq5zMoZkYkLJDaFbp3McPEoiOWHD2F5yQ/CCzYbuEyIvK3BtNxUG+t9ztZowFU5CVuDbyOKtNyxe7ewlaNJUuW7Acg3o0jW/HbsI73Geq/7pAK8N6nD/rZvJxJAIT35qtf+1pJ8D5V9+nG9etx+3e/KxkWzQufNl7L19l8fv199yvgV+D0V+BsAyBexTi2ZesqgQi1IHwuc1LXizloBiAvJjA/mrPgA5AXASAeA0KESAE6T0rz4DfZ1olIaydiLW0SAkeVg1O3wcRUzt6XmP5rG2hra0V7WxtCegh6JIpaIIDJfA6D23chs30nKmZZ2I5ZyU6c27MYvYsWQO2MwdLrqAcVaJzdj8QAPSYWv3U1CMdRkMsWsGvnLgzs3AmN780sBsdGrWahLrkjCsKhOEKRCOKpODq7OzF77jx0dnSjrjgYHtqJ3c8+jcrOPehSwpjd2omOS8+B1teBXLmEgee2Y/uWLahWDdGikMsoFgsoZrOoFnLITwyJa5dVrcCoVCRHgpaKbiuV13LV0Hp4ovQjABAmr4s0hP81fhYQofIo+B+E+WBGirumu/BGWLlypS9EP5o73l/nuCrA+5/tV2f7ciYBEK+WN950E9ZecslJYT6OdL5u/853cP+vfrUfUIYbepOz/fz6++9XwK/A6a/A2QpAvMpxwp1AhJIDMv8EHs1Za4fqbI93AskHIEcBQDwGhM4AXuy897LOWfOgJ9MIRuNQg0ERgXP03NnVCaVeF1tcAgO6X7W1tUHXQwiEwqgHgzLAH962E5lde1CxKgjrESxNzcIVPaswZ9582C0B5KIWCnoNpq5B1SNQQjEoegQ1JYhajQAkj907BzA0uBeaMAWebWQdUCmgt6GpQbG5TaZiaO9oQ3tPL5gibltVDA/uxMDm9RjfswuBWh09bR2Yv/Z8zFm2HIlkC7Jj49j01DPYvXOXiNuZHlg1qijnCzDyBZRyw7CrhjAg1UpZWrBYLwkjbLRTuWyHKzj1wNvhGBCVehEBHnU30E5+IsBgVGPjb/UabNt8nivJokWLRDjqC9FP/8N3Ou4BW68ONZ84G4/zTAQg/PC64KKL8AdveMMpLenkxAS++E//hMzEhN92dUor77+ZX4HpXYGzHYB4Z4cTbwwg3L17t0xuNwvOj0XrcaSz7QOQI1TmUAcs9ivTE/lQAfrsJcuh6DHUgzqUgArTMBBUgXRHuzAQlVwOQQXo7esRETn1H5oeEgakVK1i+LkdmJgYhW2aaA0ksCIxC2vblmDRnEWItEexU8lgoJ5HSVcRTiShx5KwlYAI0Os1BflcHnt37cbkxCQMsyIJ4gzvY5ChGlRh1hwBG52trWhNxRCPRaBHE7DrNirZjIQPjg0OYHxkL4rVInrbO7H43DXoX7QUXT390Gj1u3sQW555VvrfzbqNqmmiShvhYhHl3Ahs04JZKokGhCCEF61XP0+MTj16M/gQcNH0OwEnNTZesddKIMh+0MIgQ1c/wnUc2I4LcJqX2bNni0sOAYinA/GdsKb3Q/5UHd10YT9YrzMRgHjncfbcubjlbW8DNV2nYikWCvjvb3wDO7ZvPxVv57+HXwG/AjOkAtMFgHini5NvZESYgXdoCrq3zvGwID4AeQEA4mWAiGNLPi/2ZM0AJBgOo2/+YgEDNUVtABATUbo3tbfILH41n4fqOOjt70Uq3YJwJCpakZoWQK5YxMiuAZTNKtS6il49jdXxOTivZZ7oQLK6gU2Vfdht52HHdKTa2iUXhOyHXaeTTA225Qh4KZdKMO0qzKolv6uhBjUUQCQZl6C+7vY2pCIhBDQFVq2GfCGL0sQkhgZ3Y2JwD3Kj+1Aq59HWksbyCy5C34JFaOvpRSQWg1GqYO+27RjeuxfjmUnZ72rFgF02UK0wu6SCarEgX4YAEFMSbEWMXnPdsByvp0pxHbJcNqThwtvQfoA1FOG6NGGJpS/XJTPS+LW8xnJqsBxXZ+ItvhPWDHmyn4bDZOggwwenw3ImAxDWl5MHr7rxRpx/wQUiUD8Zi21ZePqpp/CjH/wA1UrlZLyFv02/An4FZnAFphsA8U4lLc05DqYhE5eptmL5AOQwN8nhLHg5CCEV1QxAQtEo+uYthNoAIDVNhWWYCNXqiHakZRBdzedQs0x093YhlW6VPI9QJIq6GkAml8PeXTsQUDTEEi2Y3zMX5/ctxarW2SjmC3gmtxf7KpOoBoFgMoZYMoloLAEtqMOwbFiOLRcAs0RIjdF1y7KZtKEgQNeosC42lslEEgFFgabWoKkKnHoNuewkSrkshof3YXzvHuSHh0S8HolEsXLtZejrn410d5eEIHLQPz4wiH27BjA4tBeTuTyqVQuOVYOmWagUS6jkqQnJwygVYVIPYpSlVooAkBrsRqbK81qxmJLeWIctXtSBuPrzA21bahPZQebDdNiGdTAA6ezsRF9fnwhJPaGUz4DM4E+AE3TovHb5sJ0uQWRnOgDxTltLOo0333ILenp6ENT1E3I2OSnCVF+yHrls9oRs09+IXwG/An4FDq3AdAUgMjKjE2k2K5podsVMRYzuA5ApAJBYqgXdfbOhBoJwVA2OooKza5plId6Rlun9Cj/oHAddBCCtaeh6GDo1IKqKXKGIvYO70RpOonfuPCw5Zw1WLl+Frngav3/sCWwY3Y16zUYoEgbT1mOJBGKxuCSdu21INUJQEa9ztpD6jxpUaDote3WE9SDUusLfCDCqwYKquRdQIZ/B5NgocvkcJoeHkRkaRKmQlf0754JLMKu/H8nOdkTb2xGKxJDfO4y9z23H4N5BjExkUCwbgKNAj6qSvm5T/1HMo1rMSyp6tVwQQbpjOwIW+OHvuYq5AM/TegA1x83+8Kx6XRTisiPuDwcQCFklAi/LYt7IgZPH9qv+/n7JAvHEUj4A8T8YplqB6cR+sBZnCwDhvvL+jcViuHDtWrzsmmuOO5uDLXQPP/ggHnnoITDLabqAyale2/7r/Qr4FTg5FZjOAMSrGJ+jdIYkI8IQQy8LxHt2N38/UpV9AHIUAIQfYCw0bXibM0DiqRZ0zZoNjuodNgoFArBNWwbkyfYW0TBQhK4QgHR3IpVOC1DgDD1bkoqVCiYmJjCvdy4WrlyFpRddiLkrlgkB8Msf/wSjE6OI6jrikbgwJ7FoDOFIg+0go+B5Qakq1EAAQU2HopH5CCEUDSMUDKJuObAMW8BAjYnktOaiO1cpj5HBQdFsFDITGN+3F7nMBELhKFatvgCz+/uRaEsj3NaKWEsrypM57N28CcP7hrBvfBKZHBmOOvSwIjkldYIMowqzXBJLYbNSRCVfgGlUYfH3RgW2ZaJOcbq4WdVA/CQYo0aM5qCmNBCH15K1H2B44nRiEQembcE0rYMACJPQ2WpGBsTPAjk5D9WZtlU+HMl+vFBuxNlWk7MJgDTXls/M3r4+yQlhXkhXdzfaOzokKb154bN6lHlNe/di965d2Dc0hOHhYVhnuX3y2Xad+fvrV2AmV2AmABDv/PLzkdoQMiK0qW8OJfTW8ZPQj+FuaG7B8hywDgdAEq1t6Ojrl0G0UweCwRBqti1OWczcoA9vqVhA3TDQ2d6ORDrlWsWqCkzLRNkw4Dh1LF+1BotXn4vF556LrjlzUCoW8cA9P5eWplg04rZthSIIhXRhOzw9hBwSozZUpo3XoatBaIEgAlyPtr16UC4GgxqNchl1y23ZotCC/x4e2uMyFoUcJsdHMTkxjnAkhuUrVqF/1mwk0klEWpKItHbAqNjYu+EpASpjmRzG81VUqiYCClu+XLqiRhBimagZBmpmBeVMDqY4YxVRFkakgrrjtoixJavmuCCK/0eGxG5Y6zI3ROgPJqIrPDZFwIrHmhCAVKrGQTOZPgA5hgvcX/WoKkDdBxmQ6bScrQBkOp0D/1j8CvgVmN4V8ACI1w7uuUedyq4MRhOsWrXqlBWakz90y+JEPcfNh+pDZLh6SC6bz4Ac5vQcDoAwA4D9w80MSEt7B1IMHFRUOJJXoUIP6igXiqLXYHtUqVSAXS6jo60NsWQCoTCF4Kq0UJmOjXRrJxYuXSHC7/krVyLR3o78ZAZP/vpRGOWS2EOyBYt90HowKCeV+Roc9NPmVwBIA5HowRC0QAAa25BCugAQTQugWiqhVCjANkxxyeJ+MrNjYmwY+cyEtEwV8xnkMlmEQmEsWbocvbNnI5aKI5yII9raAduqY3DDMxgd3IVsvoSCWYNh1eBUK8LoEDCI9qNcgkM3LseCVa7AMasolwryZZkEJiYcy3JBRd3Vh7Dekrci1r21RnCha3vlAhSu1wg2RB2mbaNQrvgA5JQ9WmbeG01H9oNnsb21VezAXXc6996T7w3p1cHecjPvvPtH7FfAr4BfgalUgMMxMucjY2P79agzAYB4NfMcs5is7jlmNQOvZhDiA5CjBCCHY0CSra1o6eiSi8yu12HXHET0iLhAMfiP7VDMxSAASCeTCMfc9ikBEpqKmqahf/Y8LFl1LpZfROephQiEQpgYHsPGJ38P2zCgh3TokRB0PSjsh6eLEJpLaQAROYY6tIAGNRgQFoS6lKAelJakSrmCQjYnbVguu1AXMFAs5JAZH21oNkoo5POyJQKQ7tmzBDCF4zHE0u2o1VUMbdmA0YEBFIoVVBGApQSgOjUBM2Q/+MVAQrZfVct5WJUybMuAYxqwKlVY1bIktFt0niHr0aiZG1pYh207brsLgVVjUOSCDw6UGr8GRICfK5V8ADKVp6T/2heswHRkP1ws795rnsOftD42gIh/SfgV8CvgV8CvwImpACeL+XVodsbx2NUezx6dagbk0H2kLoTGTaOjo/KnwzEi/P2cOXMwb9684znEg17z8MMP44knnpC2XEZP0M6dHUeMZpDOn6NYCJ6UK6+88rROxB36IX0kDQhZjraeHqjUdNBq1qGooQ5dYwZHsBFMSJeoAiKhECKxsFBQLAi1IOF4AnMXLsU5ay/GgtVr0NrTB1XVkB0dx9annxVXq2AoCC3IFEp+6TJYYC6GpqnQeIG7DVBuH5MCqAQhmiZMiKoFBIBQgF4qEBSUpRearly244guIzs5gbKIxovCkliWgxUrVqKzAUCiMbIgKdhODUPbt2BiYDdKhTIMVYejR6ApCmqWJYCGWg9HGA4D5WIWlXIBDoGJYcAqlUSk7hgl1E1qQWpiU8y60TLYsAzUbUWYEBGJekGEHDBxHcEk/F5HuWog5zMgR3E7+ascTwWmK/vRDEA81tEzhvD+djz18l/jV8CvgF8BvwIHKtDsDHWk8L6TXa/TDUC8z5RMJiNCdbYzH84xywcgh1wJhwMgnu1YcwtWLJVCe2+PtGDJmNmuySA/oodQFzYiKJa3lUIBzPKOJKj/UIWpiMTiaO3uwTnnXYSVay9Gz8KFIvZGTUFxIoPtGzaiVnMAjcGCKoLUduhMWnfTKLkNTeVXMwSpQ1EV+buE99FXn0J0xxYWpEKBeLkCi+5UjYE+3bBKBCAl/q0kLMSy5SvQ3t+HeLIF0WhM9CSGaWJkYAeyg4MoFkowFB2IpqAFFTGtooaD2yUbYlbL7jYrJRhGFapjA9UKyrlJVAsZwDKEztCkHUyBU3NQNcuoWcqB/BABIBSqew5ZgO3UxTGrVDWQLZYEjHhLe3s7Zs2a5btgneyn2gzY/nRlP7xT1/x8a2Y/fHeoGXBx+4foV8CvwEmvgMdyeCxI88D7pL954w3OBADiHatnZ0+hOrNEmutB8yCfAWm6Ko42B4TtSRSNk20QzbRlo5jLI8R/UxehB6S3mkF9TtVAJB4RNoPrx1taMWfRYly07gosXL0arbSQjcYBpybi7V3bnoNlu65RAU1DiLqOYBCGbbs6D42tVtp+es+VgbgCb5duYkuTLQCF7UxsCyuXyqiQiahUJK2cblHUZkiCOcEJwYKiYP5ChhD2IJ5KSy4I379cqWBs9y7kR/ZJRokBHVqyDcFYEApFKGyhMi0BYOViScT31WoZ5XIJim1BMaso5SZQGB9G3TIEfISZWk49jG3AMMtQHEX2i1bGZH9Qpy7Ebb+qKWRHavLFFrBssXwQAPFzQE7VY216v890Zj+aAcihbMj0Pqv+0fkV8CvgV+DUV+BQ4HGq2q94pGcSAGkGIhSp79q1SxyzuBB8LFiwYMonZ9q2YHEgf7ggQj0SQd+iRW5QVh2isajki9A4d09EEAxAUTXULFsS0YNhtlMFhVFo7+nBsjXn4fxLL5dtpLq7JSGdIKaUzWPv7l1iYcvXBhqtVAQeZCICeiNsLxAQUML2LF7YHLQThBBEsGfJNA2xyBVwYNuoVigIL8oXTz4zM9iSZVRKwo7QmYs9c929vWjr7hUAEgqHZRuVUgEje/YgPzosAMREEIFkB+LtSQETFMYLC2KY8j4lvk+5JN+tcllyQirFDLKje2EbVWlTi4VC0FXAMstwrDK0GmSfpU3MtlGvOdIq5grWITobOmdlckVkCuWDNCA+AJny/etvQOypp5/z1eFObDPb4TMf/qXvV8CvgF+BE1+BZsBxKsHHmQpAvApzonlgYECMndi5snDhwikXf9oAEFbC643mdxaL4pRNmzYdlIROrcXcc86RQToHxlUyC5Uq1BoF6RbqTB/XdGh1FaXsJGpqXdLJo4kkeuctwJpLLsPK8y4SvUWyowtBPQTbNFHM5TC0d1DE2nWTjIeGIPMttCAMCtP1sIjYAxSa0+2KQEcYAkcG7WyJYtsVdRli0CthgLa8loCgwMRyw5DcELEENioCShzHQrI1jXRbKzq6+hBNpUXQTsaikstg3+BeZEf3iU2wWQ9CiabR3teJZKJFmBrTMCUgkDXjNhn6RRakWqoKwCkTgIwPwSiXEagriAQ0hOgK7BhQagbqlZK0b7kAhMdSc1uyeD7Y5iV1dbBvNIN8uXoQAOFFzDBCL4jwSIKnKV/l/gambQVmAvvxYmBk2p5c/8D8CvgV8CtwiitwqkFH8+GdiQzIoeVnOxbHoul0espnZloBkGanGC8LZOPGjQJEmpdF518ATQ+JXsMxLJndZ8uSQbcn8UIOIqQFUcpmBZTo0TCYHzJ3yTKsuXQdFq84B619fYjJYF8XxoNgYO/wIGpVE4rF8EBN0s0DqgbDtBDSmXquSCuWrodcdyxa2dZcBkQBB+4WbLMqLVgENVbVFNajXCkhm8uiUnHboKJhitSr4ojF3JLWzg60tLWjraNbxOc1VYVTLaE8MY6RoX3ITYyIrsOsBWBpcbR2dMrFE4tFRXci71EuCxiybbIhZVQNC4ZhoVqh1iQrNbKrBmp05apWoJhFwC4D4pzF9jCz0YJVdxkQccyCZIewpjv3jooQvTkJnQiaWSAU+J8Oy7sp3z3+Bk57BWYK+3HaC+3vgF8BvwJ+BfwKnNQKnA0A5EQWYNoDkOeee05m9ZtbFuYsX4VYa1qCADn7b1tV0JuKdrRW1ZCUbw0qjFIRdNvX41GkOrowf9kKnH/ZOsxZvAKtnZ2IJFOSZk6wQ8F4dnwc1UJRsj5cpiMEVVVQrVYEfNAti8L0YCgs1r1kCZxqVdLG2Q+mKnVhQainEA2IYcCoVlGulJHLZVEsFqRtLBmPyzqlckmYlo7OTrSk00i2dSEUjYmGhXa61G6MDe5GIZdB1arBUAKw1BBCegSpljRSLS0IhSMiyLeYVG5UQX8rtlSZFQNm1YBl0ymLXxWY5TLMUglWKY9apQAYFSilUTgmE9ZtCSykAN2xG/kg3Bqduxwb67fvhWnZB127K1asEPs16lp8AHIib+uZsa2Zyn7MjLPrH6VfAb8CfgVmVgV8AHKW2vDyMvUYELYTeQwIhTOTk5NuVkVj6VmwGO39s6Foigy8OZivc6DMDAzazTLt27KlNYs2uXosipbuHixctRoXXHY5+uYtRktbGyLxOMA8EduBUTVQyedRyhfk9QQgtO3VAoowCnx/MhvBgA49HIEWDotNrlNx25c48JfA81pNxOMBggijKlQXW6Ly+Tyy2YwY+KaSKRnYU4BOLQvdpOKJBOItbaJJ4cIcj8LEMAaf24p8LgsEQ6jrMZRtwhMV8UQSiWQS0TiDFiPSHiZC8roj+0P2RQCQacj+G2yzYn0qJTjlPOxiDlapALU8jppVRc0hAHGkrU2Oy00hhFOzUSpX8ez2IWFGvIWgY/ny5RLa2AxA+PfTSYHOrMfd2X20Pvtxdp8/f+/9CvgV8CvgV+BABZYtW4Y1a9bMmJJMOwZkf0K3tBPZGB4ehpfu6J3Vtr7ZmLP8HCgBVTQQ1GBQt2CUi24GBsXfbEkyDNFmBMJhtPXPwtJzz8d5l12Orr45SKXTCMdiULSAzPhTyG1WKqK14Os1NSCtRYGg5oq0LVPcrth6xQF/IBSGwWyPBuhhvgbZEuo/yHqgxm0aMAkCjAqKxbyI6smkEIAQGVHnwtDDZColQvR4oqXRWkYWwkApM46hnc9hcmICSjAEPd4CW2MuiSK5IxGGvySSAl6Ypi4skcLAQ4IPCyYdsiquPS+dt7iv9UoBtVIOTiEDp1yEbeRQc0x6+qJu2wKMpJWrkf/BWoxk8ti2e1SAibcwdIYuCgQgYlGsafuDZ3wAMmOeP8d9oCeS/ehoa5OkcX/xK+BXwK+AX4GTUwEGQ49xLELDHX85bAXoLrV27doZU51pCUC8xGAO0BmoQuV+cxZIJJHCysuvgsL2KbYFccDMYL5qBY5twjArKBbyALUcTg1KQEfX3HlYcdFarLroYnR09SKRbBEAQkcr5lwQLDimJS5S1HWwpYtOWAQgtmO77U1OTTQgBCAUr5fNqjAgBBnCkGhM4aQbluPa7hKAkIEQa9yCWPJyoJ5IJMXSl4vLtOgykI/FElAUDYaEDFZhlvPIjOzD+NgYilUDashNSA/qUdFlMHWdOhCCkFg0JroVgiba5rIuBCDUjlBrwuBDi6GEhQxq+UnUCxkoFMI7ZQE7ddr2OrTitQX4ScgjnbwsG88NjmHvaNZlRRoLB3yzZ8+W0EUPgHj2dzPm7vMP9LgrcCLZj6WLF2PpokXHvS/H+8K/+eQnEYvF9rOz1GERmN9888349re/fVwf1B/84Afx2c9+Fj/4wQ/wyle+Uu7nu+66C9ddd93x7qa8jvfm+973AWEreR//73/8R9z6wQ9MaZv+i/0K+BWYORXYtHUrNm3ZctBzzQcjB59/mvJcffXVM+aiuPvuu7FlyxZpxWcKOj//zsokdJ6xw2WBEIRQiO75F3tndvXLrkcs3SqDX6NUkQE/ahxwV1AsFcTmVnMcKDYzvwPoXbAIqy65BIuZ/9HWjVgijkgsKu5W5C0ERNiOCN4dtlPVAU3RJOW8zrYmcZuy5O3F9UkPomqZsMpFeS33nTcjAUhQU8Wdi+1gogEpF1Biy5PFQEMV8XhKThjdrigi52t50sLoD+ZZAAAgAElEQVTBkAwOqgQftPOFhdz4GAq5PIZGxjGWK0KPJjB73kIZ+FPsQg0JtxX3WrHUgCuYVzUBbTweOnNVK0WUcxlY2QnUcpNwcpMwCxlU61XYZkVct2CbQM0WcCPuV2SGLBtPbBxAQRywDtxXRPqtra0uS8QEeIYzKspxDbpmzN3qH6hUgGB9dHT0oLbKqZTmdAGQT9x2m1z3fAbxXuP172nV+Pvjtdrltvh61on3l+e2N5UacR9t2w0aDaoKjFoNH/vQh6eySf+1fgX8CsygCmzcsgUbN28+KNDOm9yYQWV4wUPls5oTUHzezoTly1/+sowxPQBCEMLJdH5uudl4L77w9cqVV17ZNLx88RedrDUO54TFSHlqKJo/0OevuRCzlq8SFqCUK+7XfRQKWRRLeQnUqxMgVEwEgmH0LVyEZeefj3nLlqK9vRuRaAyhSAR6KAxV0aTtikvFbLAZCtkMFWBbFe122dZkGsII8Pe04bUcE2apAMembsJtXaIblswK0CHLsmBWK6gw86NSFD0ImY9kKo1EIiVuWp7eRbQUdL+yHZi2JeJxBguC4nK2UpkO8hUDk3kyNBDdSDKVkDwSXuyciQ0G6M5F3UoQQUlmB0zaGZsGKkZZnLDqRkVasIzJURQzY1BKOZhsyzIqAkDIgFD3wWNiAny+VMGj63ccJEDn8VH/4QvQT9ZdML23y1ZEMiAnajldAORTn/70lA7BmyB485vfjB//+MfyLHjd616Hyy+/HO95z3sE2HPihd+9mUax/W6eCTiGPaClefVvbsM5K1Yg/IkPgWyLv/gV8CvgV+BoKvDspk3YuGmTjH+aJxx9FuRA9fhsvvjii09IyN/RnJPTuQ7lEf/1X/8lE/Icf3oMiKcLPqsBSLMQfd++faIFaRaid86Zj+WXXQk1EIRt2vIhXczkUMzn4DimCMKLuSyMchWp1nb0z1uAOUsWo3/+fHR29SIajyMciSAQ1EWPwUwNFswSW13iDvcmqysus8F8DKvBJsi6miIDdatUlJYlYQ0cN4+D6u0a9SGmCdtxRfKm6QrS2b7V2treaLdiIrktAwqeRDeJnP+rSyI79Ru2YYrLVTAUBYJhlNkmVqkiGNCkdYuZIlwIosiiBChW50aYZs5MD8bFK6q8d7GQFQcspVqEQnvefBa13DgMtmaZZUBasBzUCECcugQw7hqeEAesZgE6LzZa8JKF8QXop/MRcPa9N++PkZGR4x5EH+6Iz1YA4gGJL37xiwI4Hn/8ccyZM0dqw5/vv/9+fP7zn8dHPvIRXHPNNfjCF76AO++88yCm5WivgN27d2Pp0qXQA0HcdPMf4Gtf+So+8iEfgBxt/fz1/ArM9Ao8u3Ej1m/cKM8fT/PpAZGZXhvv+L2x3PXXXy/jsem6cNxK8DExMSHjQA+A8LunCz5rAYjHgogWwXEOm4hO4HDJa9+IcDwpwm6yBJNjE8JU6EEV9ZqNifFxcPzd1tmNrv5+9MzqR++sWejs6kE0QQASEw2GS/3wpgrQwZcN09LCpKgK6krD1Ulsdati8yuOUaBTlwWH9rb8fWNfRasiKeZ5GNWKgABCCjIbtXodsXgC6XS7iMaZscG/i9YkEJDtch2yLrINBsZUDQFJ1L0EI3HYdQWmxX1wxJVLmBZJMK/L/tJVizoV7z0t05Ia0lXLZBp7IQM7NwE7Pw6rkEXdqsA2yqjZtC926+0FQjL/5LFnn8PwRFbseb3FS0BvDiD0H0TT9VFzYo/rRLMf3LvTBUD+9h/+4YQUx2u3am7h4oa91q4T8iZNG/FmLG/1GZATXVp/e34Fpm0Fnl6/XgCI13Z6KBMybQ/8GA7MG7sypPmKK644hleeXas+9NBD+PWvfy3jVgIOaj/4xa4YTxd8tMzYGdeCdagdL9sQKHSpUOfRtKy64hr0L14ORVUxMT6JYqGESCiEaCiISqmAyWwGkXgS8WQLWlrT6Orplgj6trZOROIxEaFrwaAwBAQcmkYwokARVycVikYGxGUYaK9LAGJTrE52w3Y1ITXqNQhAmEfSEHATSBSLOVToqFWjoxYdoshYhAWAxBMpqHTfcuicxWDCsMwqMFiRuSU8Hi6VUhmmaUs2SDiWRIAWvQRJDt/fZoahtJ7xZwISWhJLgrselO0TNIgVrziCMYCwBDM3ger4PlQnhuAwD6ROBzETSo0taDVhceh2RRyUL5Rw7xPrUaky5+TAsmjRIqRSKT+A8Ox6Zpz2vT0Z7MfpBCB//7nPQoUCe6KAXff8DLOuvgp6Z6tYf3PxGI6jfRCf6hP0wfe+91S/pf9+fgX8CpylFSAAeWb9+v2mM3721/NPpKdj5phs3bp107IVa3BwEN/85jflOuAktDi4xuPCgjQL0I/2c++MAiDeB7c3C+/lgezZswe0gWtuw+qauxBrXnYdLMfBxBjt4TSkUy3QAyomJsZE+5Bq64AW1BGLx9HT3YVZ/f1o4TqRMELUTTBsUAtADZA5CIKUBy1uKT5ntoYHBkilUIhuVykud8MHKT7nv2n9K0GA4l7F1isD5UrRbQezLAQDAdGcxJNJhEIRBPQQQIE7W6t0HdFIxM1AkXYpsi8UoNYlT4SZH9F4CkFmfVDfoeuoU3tiWpLATgaFIERYDmFQasKEkDVhPQiWzDJDCAuwywUY2TFUx4dgZvYBFbI0huw/7YP5RQcw1pPEzdaBvXhq84BoQbyF6HbJkiUH5X944vOjveDO0uevv9tTrMDJYD9OJwD59Gc/h8LGbYiOT2LTth+ho74MyYsuQvicRbj99tvxwx/+EDfddBO+8Y1vIJmk852GN77xjXj5y18+xUoe38tvueUWvP3tbxeNCRcfgBxfHf1X+RWYiRXwAcjRnXUvSoJjV4Y1n3feecIUTIflkUceEeaDx+ixH2Q9CD4OZT+Odjx4RgKQZjE6mQamoVOMzpPqLQQKF732LbDrdcmwiCUo7o7DsgyMjg5Dj0QQSSQRjsbRmm5DV2cH2lvTCOscoAcRicVlHS0YhhoMy+CeS0DsdAlAtIbDU0BaumyKwUtFSRUnIKmWS6gwbZ3CUIYnUvBdKcNxLMneKOXzIvwmSkym04glEw13BG47KFa+ZEWIGqWNSrq/VLEXJkAh8xAI6IjG4q5dsPd3TW0AjgboIHPSaOcSUEIgIyyKKjbEbEurFPMw2BaWnURlbBjW5CA0c1LS0SVIsdEqxuM3hU2x8asnNmBkPOu2hTWWrq4u9Pb2uk5gDfcrr9fvaC+46XAj+sdwbBU4WezHaQUgn/sMUFPx5te9AsnKPjw8UMCzm3YAKu9UtkdKZ6e0ayrCV+7/VeOHxnrgMy3QWN2zuub65EPJsTRWb2yPv3e35f6teZFVvPUOfX/5t/ue/PFDPgNybBexv7ZfgRlcAQ+AiAlPILBfB+K7Xx7yDOZ4lK3xHEdZlgzM2Y7FcdPZulDrQaMUarG98++xHx7z0ex+dSxjwTMWgDQjSQKPzZs3SxtWswvMwgsuxewV5yEYCCKSiEsWBjNAsvkcUi0tSLV2oK2zA+mWFkRoD6apCKqu6DsUiUqqeUC+og1BegOAcHC9P2AvAIgtLQfyBUlcV8Wa15B/E3gQQHAgT/tcXnjlchHlQkEYiHA4glRbKyJhCsSJDQLCttAFi1oQWvcStBADUFQfDIddcb3NdZntEQLYDtYYiJCZcequ5afLFDnCgsh3WanmDnccN8eDbVamURIAYlKYPzkCY3IPnOIo7DLT42lBzDYut/XKdGyMZwr45ePPgjqQ5oXsB90OaLPmU7Bn6+Pk1O/3yWI/TicAKbV0YvVsEw/vSeC7//kdzGoPoTg2iGs+eQc+vPK3+NtnL4JRDyJy75/CuepLyCkxKfyX1u3FDX/0HnS/83tos7K4OfB1fOibGcx//a3QAgpsLQSlXsNnryqiO1LCW37Yhev6CvjVv7wRyut+CEMJIwAHr+neg0f/+6O45/7t+Na/vB//NP4axGoFfO2GIfzZT9swUW8XaKMrKr5+9S687+4gLEXDsuH/xG/mvB+Lf/OlU38h+O/oV8CvwFlZAR+AHP1pO3QCnTICTjTTZITfvU6e43U0PPo9mdqaNC/ixD/z+NyYCRd8yvg5FJJjkQiJhvUux4THCkjPOAAis3v7B9euxoFfTESng05zG1YoEsNLbn4rookkVF2HXXPEsUnXI2hpbUWqrU1an6IR2txCAvcIHmQGP6RDD8UQisXlS9PYtlR3exylBctF+cJK1BkWbkmgX7VUggoHdZssSF6ACMXePFluarolyekm/Y1RRzgSRSxB9sMFDdwexe88gaGgLjOkroMWhIXRGwCkjoA7c8r3VzQRxO/XiNCZi1sXw6u6y2A00sv5S5X/dmjpSwBiw7KqkhRv5bIwMyMwJwdhFYbhlEuuW5eI1W1JQGf9fv3kZuwaGjsofJAX2uLFiw9yv/Lbr6Z2g8+EV59M9uN0ApBX3bgWb33738KsW0iEFGhOEfM/fDecZD8+Ef0iPlO6BdV6Auc8805s7n8PWuMhzJ24C39040vx9vd+ApU33IEwSniPdhve+e8F9P7xl1z2QqWPnY0vXTyI7kgBb7h/FV7dMYJnvnoTBl/zEODQHlzD9aEnsfeej+L79+zEDa9YgG0vuR0ptYyvv+xx/K+7+jEcXQVHrUOr1/DdK+/Dn3y/D72tYYzd+RYUXvswFjz4sZlw+fnH6FfAr8AJqIAPQI6+iB6wcFvjnf1jWI47CUY4RvQMf7x1z0Qw4jEZnvMZx8OcfObYlaBDxrAhxj+4eXDHCj5Y0VMKQDStjs5OA8FgDYahIpPRYVkHAku8bh93oF5DOGzh6qtHMDmp4sc/jooY/dBQwsXnrcXi8y6CFolIaxNZDaaKR6JRRBIJRJlcHtSIPlCzLUkq54UgyeEhtmklEIkl5EOdw3pxd2AbFrUg6gEP/prDFqyytC2pjTYI5nxQnE6wwdBBghBxx2KehmOLQxdZjpAIzclouIF9koCuuza24VAe8dAQStUE7HoajppwNSJqEHVhOqhFoSsXHbJMzO14GOnYIH6z821ubwate+vMK6lLqjt1IGwZY2CIMCRCBRowq2XYpQKs7DiszLAwII5REp0KdR7y3XEwmSvgl48+/Tz2g8nnzB9h7ZrTz3kRHQvldvS3sb/mdKjAyWQ/TicA+c4P70JYV2HagB60YJayqHZejkfveB/u/Z+P4zs71yB2zYfxJvN/4xdbu7Fw9blYEduCP/nLr6Gvs4Cedz2EW5fei3BmK970sSeR6uhB6+tvQ12poa6o+Jd1W9AZqeEdP+nHtfMcfO+j61B/x3pxq0vpdfxp1/34/Mffiy07gIXzFaT++BFEVBtfvPy3uPWncexIXgINGmdO8PV1P8Vb/l3FNS9ZhSf+7Wbg9Y+j676PTofLyz8GvwJ+BU5BBXwAcmxF9gTpnp6ZYz8O1j0A4rm8eusd29ZP3doe89HMfnAM6H0d2o53rHt2SgFIJOLg+uv3Yc6cMr7ylXnI5YJH3F9dd3DJJWN4xzsG8OijKfz93/eDCvyxsbGDWBACjpe8+mbE0mlEYwlxmgrqrthbD4cQDunSK01HKg7MCQqoqeAvuQ61IGRSyDRwMM+BPIXcrg6EAMTdRQ7kzUpFAgnpikW3XLpf8d8CRKoVGGzBIgChLkNcrgg2aLOriywjSHE4O76D7gnk9uf0bsR5S+7Go8/cgKGJxVA0akAIKAhWmKhMgKZAC1joaduGq879D9hOEN+69zMHnHbYD87dF8Rdk4wSAhHV4X7T2cqUVjGrUhb7XTszBqc0AThlaR/jl2m5NryPPbURew5hP4h2yX54Hs9++9Wx3mYzc/2TzX6cTgDyw3vuxIoLZuHZJ0ZhMa5HAdZesga/fXY7fvpvr8Of3vptpP/yMbzZ/EfcfsfDuOpN78e6lRouf9VH8cl3rsUvZn0cnznvcZR3b8Cbb/s9Zq+9AXfdfQ/+4gMfxnsv3go1ORfpYAVPPPQAtqnn464vvgUbNyZwzj89jl13fhrn279ANGzhFw+NY3avhXnv+Q3iqOLvLn8K7/uujkz/NcJ+qDUV/7z2Hrz6U9vxrj+6Aff/xx+i+uoHkbrn1pl5UfpH7VfAr8AxV8AHIMdcsv3jM34O0jmUg3myHx748IJlz0T2wzvaQwEIx7Me43Ei8mBOKQCJRh3cdNMgLr98DLfeugqjo6EjntW5c4v4+Mc3oqenivvvb8Wtt84TuuZwLMiSNedj0TnnItnSJiCEGgrmYeh6UPIy2NQgbUqKq94nu0G0QYcstkhRDC5kAikYYV9c/YWsJ8nmLpsgrUoWWZSam8HBli9eUGy9YiuWURHmwxWDu+Jtul3R2pep5XowKKBClZPoApAFczbjVVf8N37+69di0441LhASEbnSEK+SlwFS8Qlcs/YOLJ7zFPKlNL707dtEIM7/5CIhSJLWtYY43akLUKKYxKkz4ZxMiAmnVIJTzAgQUWtVt/WKGhbLQiabw4O/eUZctpoXCqi6u7v3X3ieBzjX8dmPY38wzZRXZLNZlMvlk3q4pysHJFuZxO0//z1mXbAO3//cn+KKda/DZW+/Dd3nXobrJv8On/7PX6LvvU/gbfqX8ZEPfh7/8+1/hRaN4Jqr3oJf3vcVvOdrOfzdH4WhljO49R9+gg/97Wfx7Wds/MsHbsHGBz8GPdyKlFbGd26/A3dvjWP40f/A7l1duOSfn8CDn30Lbr0xjUcefhC/fbqKWf01rPjgk9DMCj6+9hnc9jMdw+3XIKDUoTtV/P2FP8ebPj+Gd71+HX71jXchf90vEbvrQyf1vPgb9yvgV2D6VMAHIMd/LjnmbG1tlTGk13rVDD7OdADSDEK8HJhmvcdUxoCnFIDEYjZuvnlQ2qo+8IHV2Lcv/Lyzqqp1kCm55ZYBYUsikRp+9as2fOQjC2SgfFgWJBTCupffgI6ePoSiEcn0cAtFBqExQGdrVYBAgCDAfVuCFLpReYGELgARvym3FYtAQJxs+OsaagwUdCxhGshwOA0ROJPPyYQQhFBQTubDXdyWKwkJDLr75IYcssWLfXNBLFm4Da+//ju4675X4fcbXAAizIeoPLh+HZpqY/XS3+OadT9DMp5DJteKT//7R1z9h6s8d91yxIGBrlhsx3JQt2wo3Fc4oo+RsEPLRK1SlFT0ul1F3QMgtoXHnlyP0fHJg4IHefMwRVmS1n33i+N/Cs2wVxLQkq082cvRAJBw2MSChXtwzpqtuO/eizA2mkatdqD10wXSdQSCNpYsHcCKldvR2TUJo6pjz+5uPPP0YowMt8G2OXHhLn/25zfg2lf9L6x504cx33gUkfP/HN/86z9A90tvwfsuN3D7D+7B1udsfO+778K6N/493v2p7+CtF4zhgpd+ED////8SH/rw7bjtc6/H1t9tRaC1DQ+OrsRNq6v44e7F+NAle2AHE0gGKrjnJz/Fv969Ddr4E9i0LYWrvvQ4HvuPv8DLunagWh7Frx7KYfXyABb9xaNQYePWC3+DW3/cikrP5dIqGqsZ+JsL7sHN778Pn/n4O/GFj/8hEm9+HPjR3xz3qWlJpzF33jxhcflc85wK87mc2JFzcobPi7aODoyPjop+jyyrv/gVmE4VCKthLIguxDnJNbhv4l6MmaOunf4UFk47aoom212ZWI2eUA/suoW91b14pvA09lb3wK7bMj0pIwxFQyqQwpzIXHSFutGmt8k+TFqTGDNGsKOyHVkrO4U9cl/qA5DjL2E6nZbukea2rENbr85EENKsAZFrrSEhOJHa31MKQMiAvOENe3D99UN473vXYM+eqOvc1LToeg0rVuTw53++HS0tFuJxG48+msZf//VCQY9HYkFmz1+I8y69HNF4QjQTJC880bcUjJoOLSCOWe6Ag7IPCs4Dsr67kClpZKOTVeBKDbQiF4wM4g98CdtBxoEsiIjRDQkk1NlqJSfLzRJxgY/bzkVGRECGAKQAVizbgbe+/vv4wT1X45HfrQFE83FgcBTQ6kinMrjh2l9g0dxd0DQbhVIcn/jcu909FtDkgQ8CkEY+CMEJ7X0d2uyyzcoFTqIPYZCiUUKtIYbi4GD33n14dtO2g6yOuX2yH7Tf9a13j/8BNBNfOTk5KffqyV5eDICoag3tHVm84vqH0dk5iTu/dzUGdvQeBEAIPhKJMs6/cAOWrdgheUD79rUj3ZpHR0cGw/vaBbgQjHjLX37gJlxyxR9DRw3zlsxBfqKMcjmHyy4+H21tw7jovIvxrfVz8e/vXozLX/v/4b2f+jfcsHwML7nyXXjysa/jyle8H//6z7fgu7f/BPMWr8a20RhufvVy3PvcLLz9wlHUQ1FE1TKe27QBX7mvgsLW7+DXj2m44f/8Go9988NYUfsd4pFx3PdrC3N7S7j0w0/AqoXxgXMfwBd+vwYZZQFqAQXd+WfwZ5ftxr6xGh7+3WN4+vGHkLzpEZS+94HjPjWXveQlmDt/fsP5z5RJFu8D1TMN4fOCz8qdO3Zg88aNB7XNHvcb+y/0K3CGVICf4+3BDryi43p0hjpx5/D3MFDZcVgAIr0MiorWYCuiWhwxLYaByk5UHJcd/r/sXQV4VMf3PXF3JU5CCBLc3Yq2eCnu7lCgULy4BCvuUiQQ3F1DkCBBQpCEECDuusnG/t+Z5aWblBKgLeXfX4YvX8Lu23kzd96+d8+ce+7lZqPwSaACHTUdVDCshPIGFaGhooGwjFAYqBvAStMaCVkJOB9zBi/TgkR/mipacNVzFcerq6iLPiMzIkXmS2MNE1Q2qgrvuKt4lPzgL1utCIB8ngnptNN/kpz5/w/AQ3mmyuzGn/39eZZRfOqLAhAyIAQg7duHYvz4CnjxQh85Ofmz2ZuYyMUx1avH4cSJYujXLxg+PqaYMcMVamqZsLFJxd27cUhOjkKDBjlwdgYiI4Fr1wBLh4awsLKDpibz6lOxT/ZDTfADBgZZQjydKtODunomSruGwcY6Addvl0e6XBEKJrEIAhUJHYYCgPzOLigK/4mq5VkUeGcKACL0FXK5gmHIzhHaEzIdeVoONYINFh9815+k8VBVRQX31xja/xQOHq+Fi9cqICeHn1PcjHh+Tc0sVHJ/gRZNfPHkmT2qVXqBDLkGJs/pDXW1bFhZxiMuwUAAJyf7SDjYRSErSwXPA63w5q0JMjPI3GQgJzMbapAjJ0uRo1pLKw0aahmIj2fNERlS0/1QoWIG9u3LRUyM4uKQtB8UTxWxH3/la/a/9VkK7Vg49Eu0wgCIpmYmatZ+iCZNbyE9QxN7d7XAq+DfAQjBh5ZWJipUeoaGjX3x+KErbt90R1qaNvT0ZWjT/jJsbaNw7WolXDxXI29K/YZ8g1/mLMXzp3GIj0+CmksjVHeWw17vLaqXqoVytUph+5kkTO5XEnMXLEepltPQoGQYWnSYj5Nbh+PiAzVULROHzVuOwLq4A04cf4k160bhVmgZLBvZDup6KrhyYiYunvaGX4QZEl4ex/FL2eiz+jyu7V2AKtoPYKKfjr1Hn6G0vSbm/LoSKw4EYkl/K4xek4jw6GRU6zIe2vJUjKhwDeGxubh+9yp8Lp1C8T4PELF74mcvT6s2bURM89OAAERGROTdGyRanvdPhoMmJyUhPi5OMCRFrcgC/yULaKpqoqZxbTQxb4r07AzsDd8lAMD7GBCCBRMNUzQzb4G4zFgB1n0SriMlKzmfSbRUCSjc0NLiWwSlBcIn3lscQ1DyjXlzlNRzw4MkPxyOPAB1FQ3Bknxj3kz0eS7mDFKyUpCRw+ybKrDQskRP2z64FncFtxJu/GXTFwGQzzMhyxbwp7D2NTIgwieWwoUKm8Bnvv9FAYihYSa6dXuNtm3D8NNP5eHvb5gHQBS6i1yUKZOEESMCcfu2KXx9TbFw4UNcumSOefNcYWGRhmHDXmHbNnPUrv0SjRplwd8fsLAgkgKmTNWCkVkdWFrpITVNF2VKxyEi0hjJKcxCpdBWMDpKV0eOzh39YGeTgPXbGiA2Vg99uvvgjp8THj+xUcRcvWuWFsno2PYe9h6ohrh4XaH/EAAkJxvOTlFoWO8lHOzjRVav7GxARzsbz16Y4fDR0khOeQdshJ5EUTgsH32looKa1V9jxOCr8DpUGafOlUV2tgIwsakxHE1XjqH9riAzUw0XLrthYF9vZGRoYNyU9jAylKF3t1s4dqo8XF0i0bTxUzEX4idjozQcPFIGvr42yM3ORGZGLkq6RiMmSgsxMRqKWMTsHMHYPA98jGbN4tHph1yMGgU8fQosXgzExVni/Hl7EdImCY5MTLLRpk0YHj82xqNHRsjO/h1A2tjI0KRJFCpWTFDUFJGrQls7G1FR2ti2zQkREX8MufvM67boY1+xBRh69aWczsIAiKtbCOrWuy8YD2OTJHh5NkdEuFkeA6KqlgP3coGo3/Aunjx2wZ3bZZGaqiMyy2loKIDJd22vIsDfGXt2tsyzeo/+9ZGTEYoO3RchN1sL+3ZOR3pSIiZP/wk/dBqMoYOaolaTcfiuc13YmtnDscJ3cDZ+hoEDfkHTmnYIT7ZDt66OmD3HC01b18bmDb5YvWEA7j23xuYF0yHXzsGtE3Ph/+QO7oQWx83js+H/RB+qthVg62SNLlU0gJxA/LrhBr6pboM+Y37E+kNBmNvXGQMGL4WqhTO6Df4FmWFv0LxONqIS0+HrfxfnDxyCbZ2JSHz46LOvoDYdOogQK9+bNxESEpJXEFH5YZUXtsoiqQVp7s8+c9EHiyzwdViAQKGuST3kIAfG6ibwCvdEhDz8vQCEbEQD00ZIyIxHREYESuq74XLsRSRnJeWbTCn9MgKkBKa9wI3460jKShTsCJkQN73SaG/9PULT32LTm3Uw1jBG52Ld8Tb9Na7FXUVadiqyc7PF8WRD2NcPxbriVPRx0ddfbUUA5NMtyPsh2Q+pWPOn9zOib4YAACAASURBVPDf/8QXBSBkN3r0eI2WLcOFBiQgwCAPgBB8GBllol27MDRoEI0VK1yhrp6D2bMf49w5KyxaVALlyiVg+PBgPHqkC23tNCxbloaAgBywyCQdZ5kMWL7CEPaOlaGuqY8JPz7AydMuCAwyV4RSvWMzjI3TMbCvH7S0srFxaxVER+ti6sSrOHOhBHzv2r4DIAoU4loiHr173MfqdTUREaEntCBkYuzt4tH620DBNly+ZIO4eIZ25aBatRjUrx+BVWsqIDDQWPQhwrHehVVJzIYELBs2fI3hg+9gl2c5nDxdMh8A0dXNRKUK4eje5QFOnXHFY38L/DzBG6lpGhg9vgUcHRIxuP9d3PMrhlJu0bjm7YDHjy2QlZ2Lpo2D4eSUgKNHiyMo0ADpMhWMGPkIt2+Z4dZNM2Rn5yI7KxtBL4ORlBKKQYNy0KQJMHw48Pw5cOyYBp49s8T+/TZQUfm98mmxYhno2zcE166ZC5DINMpMr2xqKsd334XBwSENFy9aITRUR9imdOkkdOgQiq1bnXDzptl//xv1Pz5D3lAYfvWlWmEAxMo6VjAYxibJKOMehP2ezRClpAExNExF526nBeNx6nhdJCbpI/ud1kNNjeFb8Rg0bL8Iw9q4tmPetOp844iKrmpo3HYRcjPUMHR4XTx+8gKBT/wRHmOEp3d+Re0WE/HtD9/A1dIOkanqqFQqFzOmroWDURoyVVwwZkoTjBi9AUOHd8Cvyy5gxqJueBZgiR0b1kBVIxknd/0IvwcBeBJtjjdPvXDtahZg5YgqtepiWEtbmOrFY8joVejcphoat+uOxStWYtm0AXgSAYydOB8duw1DlfJ1UN0uAnFpGfB//hi7t+1H3bbL8eza8c9eotbt2wsAcvvGDbwKDv7ofqRQLf7m5w0MDWFmbv4uTbmKuLeGvn0rrh+yyh9qrMDLa40bKVITuj8mGVFVha6ODqrXrg2/u3cRFxsLK2trxMbECM0Kw8e4K5mcnIw3r18jKSlJoZn7G4CSyLD4rhLy+/rj+YvZ2uL1q1eiWC5tIUtLE3awc3AQ/4+OjBR2kFLOf+y4lO3LEDjal+JXPX39PEafmpzwsLBCNwjet1amZmbQ1tFRRAQACHv7VthUuZaBcoiJJF5lDLyDkxPu3bnz0dfK134g9Ra2WrYi1KmMvjv2R3giqoAGhM96DVVNVDasAhe9EjgccQDWWsVQ0bCyYCwIMKSmq6aLtlYdRLjV4YiDgtWg1oONDApBzhDH4UjOSsbKV8sEwGho2hinok/gTXqIYBwVWlAV6Kvr41vLNiir745jUUdwO+HmXzZnEQD5dBOyCrqxscIHLGrvt8AXBSBmZnL07PkKLVtGYPLkcvDzMxY76AQf1H7wdTqx9+6Z4MABOzg5pWLGjCc4fdoKy5aVQMOGURg+/CWCgnSwcaM1jhyJREJCogi1qlwZmD0b2LQJ8PGxhoOTGxYv8ofnXhc8CTDNo5IEPWkpw/Ch/pDL1bBlWylEROhi/tybOHHSEdd9iilZKhelSiVgQN8ALFleAeFhrGacA2NjGTp1DIaNbSrWrXMTO/yZmSpQU81BnTpR6N79FTZudMOde6aK1L6q78K5FHAkH63VovkbjBj+GHs8XXHgoDPkmeqKDF2qQLVqkejZ4zliY7WxfUdJ0de0qXeRnKyJEaPqwt09DsOG+IuHwb59LrjmbS1YGMa9m5nK0KXzSyQlaWC/lwOSk9UxfcZDXDhvheveBA65CIuIQFDQSxgbZ2PMGKBqVQWQCw5Wx7lzOnjyxAi7dtnmARA+UGxs0tG37ytcuWKBO3dMBctBIEfQ2KJFBA4etMOdOyaQyRS6mnLlFHqeY8eK4eRJZdsWfSX/axag8xEVFZXPKfyn51gYAOG9RVsnHdVrPEbZckE4sLdpPgBCwTn1IT7eFXHjeoU/DFdXT4bho/ZCJtPCquVd896/G3QOC0fXQ7/xx7Bs/lhs3LEVt33folwpfRR3roG5kzqiXb95qNmoAoz0i0EW8Rplq5TATz/tRIs6Zgh5nYSpc9thxPjf0KNrM6xfexkr1g/E4T3PcebcXWhrpWHO9CYo6eiCb7vNwYwpLbFg0XW069QUT15FYcGPbRER+hQTpu3G/On94Fa+Kpas2IS5k0fgRVQi1m7Yjyvnn2P75pWoWCoOKTLgUdBTjBuxHoe9PLF6zeHPXppv27YFAcCnAhBx93sX2mpnbw/3Cgp7J7DSLgCrYsWE4/3k0SOF82xmBhNTU3E9SUDj1cuXIuyrWatWuOXjAwrfCzroZGtt7exQrmJF+D96JMLA6jVsiEcPHqC4s7PQs8XGxgoQwnpRZHI4BupX2NxKl0Z0VJR4TbnwbUGD0QZl3N3h4uqKm9evCzBWrkIFUTk4IizsD3o6ft7G1haW1tYCGLmXL694IqiowLF4cXE+1pOytrFBWGgo/B8+zCtaRlClb2AggJSFpaUAUpz32zdv8Pb163z1sXgswU35ihVhaGQk+iUjyTpO3IS7cuGCAF+FNWmtaEuuFftNiIsTzxvrYsXEHO/dvSvmWczGBqkpKUhMSMhbK64DExbQJiHBwUIPxFa6bFmxzinJyR+0L68BzoF93/D2Fp/5WpoqVKGtpoPqxjVQVr8cDkTs/QMAYZiUs64zyhlUwINkP7xKC4ajjiOqGtfA6ajjSFQCIAynop4kIMUfV+IuCTZDuTE8a6jjSKalwdLgRQLEVDGqhmORhxAtVyT74HpRwO6uXx5NzJuJIseXYi/gXuJfB35FAOTTrzwLCwvxPS1qf26BLwxAMtCzZwhatYrA1KnuuHvXRAAQgo9KlRIwcuQLpKSoY+NGZzx9aoBSpZIFA3LsmA3WrHFGu3Zv0bFjGA4etMTRo2aIjs7EixcvRKVvPT1g1SoF0TFwIGBp6QBPzyRs3OiCoCD9vGxU4iFgI8Po0c8RFakNT08HhIbp4NcV93DkiC0uXrLKJ4wvXz4Bgwa+xPwFpcWuPsOiqlaNxfDhQdi3z16wM3TCuQFBJoD6laZNI7FqVQkxvz82IfDIaxTkjx3zHDt3OsJzrwMyMiigz4WjYyqGDA6Ca8lkbNnsjEuXLWFhkY65cx4hLl4Tw4dXQZ06Mejf/yX8Hxthy9biiI/TVOyCqLDmSA6++y4cNWrEYvFiN0RHa2LBgkfYu9cW9+4ZIC4uCc+fPxcPLktLYMIEoHhxYNIkFWRnO2H37ljBUG3b5sDKJYoQNgD29ulCl3PxoqVgQLh+5uYZAig+f66PbduKIylJPY/Zql8/Gv36vcLevXY4daoIgPyXb0apqalg4cEv2QoDIByLrm46atV5IATmBRmQ5q2uo6RbCPbvbYbwMPM/DF1HJwMDhhwQoH7Fkh5578dmPkC/VhYYOcMXCVHRcHAxQFSoBpo0tMbxS9G4dngYevzoge59usH7kh80ZOlo1KIKFnuchaa2qtg0mTmjDsb8dBTTp/fArGl7sHBJV6z69T7eBEdg2+6pUE8JxPOgt0iVpUBFJQmLl13Gys3zMH7sCpzeMw+Pnvhg2Oj18PXehQRZCmZ7bMaSaaMRn6WOU2dvYM2v+9CpRxOM6tkSObmZeBkVhgG9l+HAnm1Yv+7EZy9Tq9atYWhsjHu+vngdEqLIEMgfaj8KYRKoJaMTTaeUYPXJ48fCYWW6dFc3N+GcP3/6FGZmZopMWubmwvF8ExKC1LQ0cb9i0owfunXD5QsXRKY1kWJdqfGhz77IdDx+8EA43wQg3K2nMx4UGAiZTCb6J9jQ19fH7Zs3hWaF7bu2bZGekYH7d+4I9qQgwBGOnpoaHJ2cUKV6dQFo+HmOm/MiUHhw716+FNSCldHTE+eLjY4WYKVG7drCQefjIMDfX1HjKjtbAIySpUoh5NUrwZRwzpIjT10ebZ6WmipsQ3Bw/epV8b3jOKXzVKxcWdS7uu/rizSGBuTmimOr16qFa1euIDw0tND151pxLAQBBGwERFnv1oqgy8bODndu3RKgw8LKCvYODngeEICUlBTRN8fHeXD9eD4W6mVr27GjAI4EYQRrBZuwr7o6Srq5oXylSmLsN318QPD5NTWyFrVM6qC0flnsD8/PgBAI8P3m5q0QnhGGe0l3kZGdjuK6zqhpUgcnoo7ky05Vz7SBEJ4fiTwohOcFtSTUnPS1GygYEo+XC+Ci64p21h1xNe4SHiU9EKFgump6KKHrihrGtRCfSRZaBY+TH4jsWX+1FQGQT7Mg7wkC8Be1D1rgXwEgZDp+/rkcHjwwFo6qq2syhg8PhJ2dDGfOWGPHDsd3r6cIDcjhwzbYuLG42HmvUSMOCxc6IyhIGzJZttjJefnypahAPmMG0K4d0KgRkJioikuXdLB6tRvCw/XyaS8YJjR69AsBcgggXr3Sw5o193D0qI3Y2aeeQxLHV6oUj4EDgzF/fimRtYs6ll69QuDqmiJARmCgfh5gUVfPxY8/PkeZMomYN680nj8vXHzEVMNjxjzH9u1O8PKyF0wKq8V37x6CWrVi8fKlPubOLS0YBb6+aNEDwbiMGVMRzZtHoGvX11izpoRgkwiElBudf2pu5s4thdevdbF06QOsWeOER49U8fDhk7wsRcWKAT//DBgaAmvXWkAut8PGjUECgOzaxTFpICtLkVLY3j4NAwYE48IFS1y/zsroOWjVKlyAnd9+c8TlyxbvKrgrRsKEA126vMby5SVx40ZRCNZ/9X5E5ycyMvKLZzv6WABSp959lCoTDK89zfMxIJ26noWGehaOHWmA5CQynPmbBEA0NLOwdGGvvDefR1zEuL6VMOLn6yhrp4v4pLcIDtdBvdom8L4ZjTN7+mLQ9APoOaAdlizaCkdjC1So4Y7ftt2CTQU9GMg1MXlSTYycdAbL5vRDv0FzMHdBDyyYdwMpSfFY89tkVC9uiHtPX2PnofsY2ckWw8ftwPxlszFyxAKcP+GBtt1mICs6BFcuH0Bcajx27/HC0L4dkZBuitfhoVi78SCiw2Q4sGsyEuNDEBIThdHDtkBbxwK1K9f77Eux+bffih1wOpF0PrnzTfDJUKaY6GgRPiVVAFZmEHj/IGtQtUYN8f7d27cFEODfdHbpvFtaWcHv3j3Rl56uLipUriwAAx1x5b46d++OS+fPvxeA8OFftlw5wSTQyaXTXqtuXcFqEChwzGzSDn2jpk3FcYGMPSUAaddO3Os4P7IsBADK55bYiBq1agnwQsDBfp8FBAinu1KVKoJt4fmkz3F+ZDloN4IusjINGjcWrM9tHx/BZJBJ4HkJoMgSsC863gQbnA+d8uCgIHHfZk2pEiVLiv6uX7smjuF3kMeUdXeHrb29mFNUZGQeE+NcogSq1awp2ATa80NNhMnp6qJq9epiTASbXGPOh+dwL1dOsDm+t26JNaeNS7u7CwbnZWCg+CzZIZ6fwIFzk4AcQ/j40CQAvX/3rkjgogzyuC5kvjhW2oIhZGSYOPevqRFg1DGpJ8KhvML35GNAmKK3mnENOGg74mzMacRmKpJykOmoa9IARyIPID4zPi8DFkOmmCXraOQhJGUl5b0uzVcCIEy5u+jlPJF6t7NNd8GIPEsNQHpOusiUxfCrt+lvEZz2EvVM68Mv6T4eJz/8y2YrAiCfZkKGPvI7UdQ+bIEvCkC4U04GpFmzSCFCf/bMQDj0ffq8Qt26MeL/K1e64u1b1vLIhZtbMhYseCjCeihiHjYsECVKpGDaNDcBMDIzc8SNjbszb9++Qc+e2Zg8Gfj2W4WO4dAhFQFAZDKzfDmM3d0VgIcieAIegghPz5tCJB0Wpi129alt4A+1DUwLPH26uziuQoUEDBz4Uuz+kzGRqrmTdWAo0rx5j8BQM4aYkTEprDHkbNSoQGzZUhyHDtkK3QsZFNqE41mypCSCgxUgx9o6HYsWPRT1U8aPryDE/G3ahOYVdVQWhPO8FIMPGPBSgLf7943g4fEQHh5OOH8+WGTukW76ZD7mzAF0dDSxZYsLIiP1sXPnE8GkkD3KzlYVeo70dDWRFrls2STs2eMgWBACEgKomBgtwVwpC825hpwHReu0B+1d1P6bFuAOLB2UL90+BoDo66ehfqO7KOH6Bvt25wcg3XudQEKCAS6dry50IH8EIOkYMsJLMCBLFvbOe/v2k+PYubI32nTfjaGda+D0idN4HKGK1k2L48jpt7jsNRCjZmzFsIkDsXDReshCZShdozgunY5C5VZWWDhyHPyf7sW0BbcxdlQTLJh7FFNmt8K8WbcgS4zFxv2/oJyFAS49eojDh15g8U9V0LnHPCxZuwT9BszD6QMeWL1jF577PsaurSuRIk/F2cvX0eabGkiFOV6/fY4+vdei8/etMHJ4JWSn5yAhMxFdv18IeYYhWjRp+tlL1bBJExHTTyeau93MkseHLZ1OOtpkGhhyQ32FcpgNHUt7R0fUrF1bhD0xJCfPQdfQQN369UVfdGrZN0NwqtesKQAI+1MGAd169RIAhM6vBHak+xn7qFiligjhIsihI1+hUiXc9fUVzrCUIIGONcfbtGVLwXTQyWWjyJ6MhFupUoJtePb0qXCspUZmoVz58qLOCT9HVoNsCdMNE/yULF1a/GYomZSKmvap16iRCFsiUCGo4XnpfBO8pL8DYjyHCMlychLgi3MkEKIt5BkZ4nnH9PHFihUTcyRo4o9U2IxMSZNmzQSgoY2l19kvmQyGfV25dAmhb958cP2lMLZa9eoJ8BH04kU+MMVUzIxxv3XjhrABQRnDvQi+yHiQbeEa0o6cK+ckrR8ZkIf37wvAEvT8ubgOJL0LB0XbVa5aVWiDeE9xKVFCXBMENl9T01fTR32zRoJ12Be+Ox8AKaVfGo3NmuJ09AlRH0SRilcN9toOgjU5EXVUhE7JcxSsUAfrTgJ0nI0+hbTstPcCkEH2w6CrrodFQXOF0NxZ1wVu+qUFGGHIVkRGuEjRG54RDn01PbS2ao+7ib5FAOQLXzQEzQy/KmqFW+CLAhArq3T07v0K9erFYNy4CoiM1EazZhHCkWbo1fLlrggMNBDOrgRA6NB7edlh1y5HjBv3DMWLp2L2bOo2NCCXKypL8qYcFhaK6tWjsHRpLvr2VaTl3b8f+OknLZiYuIsHpFRIpUGDWLGLT4eYIILAZ/9+H+HoBwXpCTG8s3MqKJonq8E48lmzyghtytixz+HklIYNG4oLhoMghY3H0Rn/5Rd/4bhPnFgOYWGFA5Dvv38rQMKGDS44dcpaABwyPRwDgcPVqxbv2IdcURWejBCZGDJIipoq4Zgzp7RgSmg35ebqmoQhQ17ixAlrnD1rjiVLHmPkSFXcv58gwJvUGIq8erUacnN1sXy5I8LC9LFrF3dNVATQYvpkzpnrx3lqaeUIwMQ0ya1bh6FDh7fYtMlZMCJkj9i4fqzjMnRoEGrXVqx3QEARACn8K/n/7wg6FmQ/PlYs+3fO8GMACGt8NGzii+LOb7Fvd4t8DEjPvscQG2OMyxeq/QGAMEWvnl46ho32RFamGpYu+p0Bufn4GI5s7486zTZj/aKemDxnNeKStOHslAb/p5q4fWoKVm07gF6DBmHbHi9sX3MaIyc0xbrlj1C5lSV2zJuMV6+80X3EEfy2bgi6dF+EWbNb4Zc5PkiIisKiTaNQy8EMjyOicejwG9RtUgKrZu3EqnXD0afvIpw8sADTVq9F9ps4bFo7FdFp6fB79BINq5RChqoZUhLD8W3bucjKycWV0zORo56AdHkOOraZjwlTR+GBT+RnL0PNOnXA3XTusHNXmgk2qKego8+QHf4QBFDsTKecmg3epwlQatWpI3a1qR9RDr/ha9SWENDc9PYWv+l0M0zpzatXCHzxIp+2qHufPiK8in0QHPB4iQWg41qlWjWRKpiOK9kAgomzp04JZ14ZyNDRJpNBcfXFc+cUzuAPP8D7yhXBxjCMi2MlmyEYhne6BjrgdPzpWFNrQoeazAbfp/6CzMFDPz8xdwIGZsNh+BMBER10joGhbARptJEyQ8AxUPfAcZHd4LnzwI+6ugBxZDnYB8EE581nG8EUAQbXhmCKIET5O8kxUwNz6vhxARI/1BiexnWmLTl/kVjinUifa8VUzARNHB9BptCLqKoKYFaqTBkBPgj4pBA22kXS8dC+F86cEQwOQ7fIyEhaHrIrvI4IPGkXQ0NDcRyZkhfPnn32NftPfJDhUA1Nm4iwqoIAhICCgvPHyY+go6YNLVVtkc3KUN0IxbRtEJT6ApHySLyRhYiUu98X64KsnEycizn9BwBC8EINyDDHUQJ4kAHha+qqGtBgghhRaiBXFBtm0UKCEVNNM3S07oQb8T5FdUD+icX/QJ9kP3j/U24F09kqatTl99e+8DC/itN9UQBC7QXDl1jjgzviFJkzPCctTR27dzuItLuSnoIaBgqYp09/IrQWfH/q1ACUKJGMdeucceeOkch6JQkUmRbXzu4ZPDxSMX48cOQIcOoUMHIkRAiWq6srDAx0oaMD9OjxFm3ahIsQrK1biwsAsm3bbcGGkIWQrgv+dndPFIyHp6c9LlywwoYNd+Dvb4Q1a1wEUyKFarHIYtOmEYLhYbjUtGnuIrSrsNalyxv06BGCzZuLC2DRp08wDA2zcPKktRgPGRaeQ6ELSROaGPY7ZYq7sCXDn/btU+grJOE3z8kLnCBqyJAg+PiYYO9eSyxdehcjR2bDz4/ATaGX0dQEWrdWw7p1KoiI0MKcOS54/Vofa9c+RkKCJhYudENurgJU8HiuIVkN6j0OH7bFoEEvxbgIiNLS1PLsoSgomYTBg4NEZiyO9/7992liCrNQ0ftfuwUSEhLyxbt/yfF+FAAxTBV1QBydwrB3V8t8AKRrz5PISNfCmVO1kZqSf8NATS0bxWxiMGDwQcTEGOcTod98ehQ/jh2Etcu3w2NqZwyeuAeJSelwL56FW4+y4DGtG3SNNVCqbEXceXQbE8esh1ExO7SpXQdJVjGYOXAQAp6cxcgpx7BtzUj07ueByVOaYPb8+0hLisXMpX3RoKwTAsIisdvzGZp86w6PSTuxcWN/DBi6Gfu9JmPxlq0wStHE9MkDkJCSghhZCpxNbZCSyYKtaejcdTFSkmXYvX0cLCyTkZarhQ5tF2Ddjpk4ujXgs5eJ+gKG19DB5G6+ciPIsLa2RlkyBObmItyJzjyZiuIuLmJnm7vidN6lXW86zwyzIfMQGR4OH4YUpaUJUEOnnWE8AU+eCO2H5FD36NtXOMAMweXr7IMhPS+ePhXHkPEgECAA4XlZuf3k0aMi5KtguA/DnahnOHvypJhKx86dceHsWdFn3QYNBGsiaVXoWJCZYOgVQ8W401+mXDkBhh4/VIS60Nmm885GIECHvXK1agJQScJ5gofW7drh+bNnwrEuKHZn/HiNOnVEn2R/JGeFfXBMBAh89kksAx19Mj4ELQRlUnib4r6tCOsic8WQr2OHDgktzIcagRdBFGu9UNehvFbUsrTt0EGs6bXLl8VaSboYMiCupUoJYTyvD4bnSTZRBiBcC4ZZ0U5MFEB2gyCM10+1dyF6tDm1JgRND+7f/8O19tkX8N/0QQN1QzQxayqqkLMOiHIWrHZWHYVeg1mrUrNZn0OOzFy5ACXlDMrjrewNkrOTEZYeiuvx18DjGWZ1Mvo4UrNS8jEgBBjmmhYYaD9UpNulCL2wZqFpgS42PUTfRSL0wqz1973P71mLth1Rv0ZN6OnlIiIiAv7+gZDL4xETIxPfE6Nijqju7oR9K9cj8X88TOuLAhA6qnSwS5dOFnqBjh3fijoRCu2AZT7tBR1Yiqyp1ZAACMEIReHnz1th9247xMerK+pZ5NChzkKVKnH46adgAUAOHswFGfVx44CbNynK1kDZsiVQtaoGhg0LQYkSqSJEatUqV8GE/PrrfQGACHSUQ5lcXFLEGDi+gwdtsXPnLZw+bS0YGeWsjWRmCFSoY+HOKYXfDx8WnoKtf/9gkfnr9OliQgtD0EBdCsdBVkgaC5mHUqWSMGVKAF6+JAApJ9gkai+o71i4sBSiohSoW0qFyLEPG/YS164ZYubMBJw+nYSFC4ETJwAmfFFXB0xNVbBunT5atEhFZKQm5swpiWfPDDFr1jPo6GRjxoyyogaJNFfqUHhejo3rwsQB1Id4eJQUIVpSI4NDcFWvXrRgUFavLiHWraj9tyzAcBaKZ/+t9jEAxMgoBd80vwl7hwh47mqBqEjTvDogbTtcEql29+9tisSE/JotLW05atV+gCbNbuHpk+LYtePbvGn6+B/BwMFdMWfyJhze0h8DJuxFQkI6zp+eC99nkVi6ehP2zJuEZ2FRkKkkYuTArTCy0Ec6v9PxSahTxR3X/INhbKWJrRt7YcLE39C5myNWrApEckwiJi9qj/qlq+JtUiiOngqDa1kDrJ93DJ57xqBr33Uw0E2BeQkt1CtVC2Gx0fhxRBcwmMNKzRxJ2amITQhG925bkJqciYvnZkJNLRzJ2Rro2HY2tu2ZiX0bXnz2knGHm84pd6XpPCo3Ou3c8Wd4DtkLCs4pIL9y8aLQPDBMh+JxOqYF9RH1GzUSoUEELHRq6eRTL8Idfr/79/NpBbr37o2HDx6IvvlQZzgSw5LIyDzx94fru911hiHxbzrUZDjoNOdL3aumBmdnZyFaJzPA9n3Xrjh/+rRIj8vwKjIOdLS500/dA7UJBDZ0+kuVLi2OIdsh2UJkC7SzE+FId27fFgCJIniGcz3y8xMhYJx7+06dBAPCzxbUQTCUSrA/ISEC/JDBlzQiBFY8ns66JK6nGJznZJgVba2sP5E0FbQv9SoEIAQuH2rslwCSNlMOoyPL4uDoiPqNGyMiPBxXL14Ua8WwNNqGwJQAk0wMGQyCN85VOQSLAO/4kSPitQoVK8LcwgJX39mXQJH2vXrpkkgKQLDHjGlfIwBh6BMLBNrrOMAzjACEVcgVkQXUgIjELbnkJhT/2IrrLKqWAwAAIABJREFUuqCFRSuRajdSHi7YCnmOXPTjpOOEAxFeol6IdDw/o6mqhUqGldHK8jtRB2TD67WFfnctNa1EIcKrcZfhm3ir0OMLO6BIA1KYhRTvM+V0r3FTUc1KFUFhSWITQ0PDAGZm+Tej/W7vx6X9t5HAHfH/4fZFAQg1HYodc0WsOMOXGALF3X46tMpV0Rnm06RJpDheAiATJz4VoIShTdu3Owpdg1zOyt780mejfftwdOoUicGDgePHMwXwoMN96JC0e6+KuXOp4wAiInRE0UPWG2G2qtmz/QUDsWOHUx4LwzFSd0Fh+ZMnhkKHsmvXLdy/bywYCzrcZAWMjeUiBS0d/qdPDYWGgxoJhlQV1iZNeoratWORnq7IjHPrlqnQUsTHM82iSp7jT0aoQoVEjB//TISJEYBQgE4QR5BCATvTFSsE9Iqc4FWrxolwrpUrCQAyceECcOYMsHQpmSNmByJDZIr+/WUIDNSFk1M6duxwwPXrFhgx4qUQ2hOAJCdzLIqZMKyKrBUZn507HUSKXQuLDCGUJ2PC4wgqKaBv2DAawcF6oJCf4I7zKmr/LQuw4rly/PaXnt3HABBj42Q0a+kDO/tI7NvTHGGhFnkApEHjO6hUOQBHDzXCyyC7vOHze21nHwECFCPjZHhfqYwrl6rmvX/74R6MmzwMh3ceRs/vq2D4pOPo1vtbtGtVElf93+L4yat45pMAr93joG2qhi4/rIBWrgzZqTrQ19NBlxL6WOoTDHVdHZw6OQY/T/NEn77FMXHmbaTFJGDK4vaoV7IuXic9xQKPm6jT2BpeG+7ioNcEdOi+BIkRkajeyhL2Bk7wexGAbatmIzkrFS4GTkjJzkBKyiu0+nYJPD3nQEc3DRoabxCXooOe3bZh76Ex2LHi8+PpnV1cULtevfcCEMlAdC4ZikVHlc7ykQMHRNgOnUoyHHRKJSaCTjFDs1gHg+lnb1y7JkTodLDpxEshW3xYSZ/p0qOHcMzJwNChJ1tCp1lLR0fs/vP/zMpEfQUBk5QRi86xlI2JYyVY4nyYrYm78mzMsMVwLY6VQIA78gQbdIJLlS0rHGKGEPGWSHE4w7sIPggk2Dh3SYfCIAuGh1HvwFAjZoOSNCt0xAlymMWKTI4yCyIBENbaoKCd5yGAkcKdeB6CATIEkgaFDAgZmfNnzog5KmtiaAOGinFsZHoYGvahxkQDZJi8r17Nl9mMoJCsFAX1BCBi7ElJAtiQGSPAo8Cda8kwMoJBZv3iWKT5fd+lC44fPozMrCyRKYhAixm/uJ4MnSMzQvtybciYcR1pW67d19RYDLCZeUvYadtjX/iefNmrGCKlDCKkcTvrlhBA4kD4PqHZkI6pZlQDNU1qCw3Ii7TneUCG/bDmSCvL1rDVthOajpNRxwo1Az/Tz26gACBkQf5qKwIghVuQ9ylezx2HjYfRm4NYtfex+I4WbFJ6a773vx6G9UUBCPUNdFjpqKemstaElWA/+HdB/QKdWOobGGZ04ICtAAZkIlhvgoLn1FQ1nDtniRcv9ERRPRMTCtzfQlc3C4MGMUNTGH77LVNU9V69mgJrhhpB6EO8vAyhpWWJgQNDsXmzIy5dssKUKU8RH68pslExlElyuClC53kprl671kVoMKjF8PExE6FQ3N2vUiVehEiRGaGuhcffu2eM9etdCr1qKSqng870u8xktXJlCcTFaeZpS6QOyAhVrRov0gfTqZ80qbzIMMUsV2RyDAwyRQYqgjLaRldXjoYN36BKlST06JELHx/AwwNwcVGEpRGAtGxpjJ9/zhDhbDdvmqBXrzCRqYpgpn//V0KPMmtWWQGGJHBoYJAlNB+0AYsLcgzffBMp9DHMaka9TPnyiSJUy9vbXIA1Fp/k+Jl4oKj9dyzwpYsOvs9ynwJAyIB47W2Gt6+t8gCIa8nXaN3+Mu7fLQWfaxUF6CeDyexXjZvegnv5QERHmuLo4YYIfWuZN4Q7AUfQuHEVpCXEon3jcug5YgvGzPwR+zZvQZ+xPXD+5GX4nAlDwxoW+HFWL/Tuvh41K1fCpLHTMXzoUDhlRqNhJWdckxeDWwlzPAm7h8qVdeCxwheZybmYt7w1rI3KIDbxGWYvvYbvu1bE5qXeOH1kOjr0WoSYkAi06mqJNrV+wJlblzF++AiEp73A9qUXMW36EETE38agfsdRpUJptP6uFNzcMhEn10S3jptw9uxMrF32+SFYDGmqUwgAoaEYv9+gSROxC0gAwuxH3HmnpkCwEO/S2TLEhjvmfE8UOLx1SxTjoxPPHXWm5hWsyLtMT+ybzju1FBR/09nm58iCcGxkPbjrT+aDTAU1EfybYJkhUMrF83gcnXs6uSfeAZDOPXrg3KlTeSwBnWA6+hwD9QgMX6JjraqiIj7LEC46x2SElAEYM1QxJEqemSkYjNPHj4sQMIkNoBaC42YoF4EUU9xKDx6CNzrmZBAYhsUsXmQUlJkLOjDUqRAg0Xk3MjERjBOF6wJkMS0vNSvGxkJTIWqBWFoKG1BU/qH2bZs2AjgRNCmvFcXxotZJXJwIm6OtaU/ancCMxQap5+B8uR6cHwGnMiAiwCMAoS14bTAMi2mXuVa8DghGOD7Oj6FrPCdBWEG27d++k0oAhAyIV/heUZW8YPrcgmOkcLy5RSsBQChOlwCIg46jKB74WvYKF2PPC2ZE0n4wbW9N41pIyUrFwYh9eCUrvPgnQ7362w/G9firour6X21FAKRwC0raj++Hj0eJ3CeYtfywSKgggQxpQ6Ag6Eh0dEYnN3M8exaJxKdPEfvuMxJQUT4z+0gtVgzNnJ0R9eYEnocY5VVaVw4tVT6HFBFTsD9pQ0C5Uru0McRjP1TB/c/6LNxK+Y/4ogCE2o8RIwIFqyCBDzrs7ytAy/AfOrfc5WcdkA0bnAUbwp116jSYDYtAhs46P08HPC1NFcePm+PyZUPEx6eiSZMgtG2bCW9vwM4OqFED2L1b8WNqaggvr0yR4pf9DxnySoirCYi44y853Mz6RB2DtnaO2OWvVi1OZNCiI07mgYwDBeBkaZgli1msmGbYzi5NpJ4trK1de1cwDXTgKexmHwXBGPvg2Dh3nptZwsaOrSjOw8KODNeiQJzZuqihIZsCMGViBo4fz8XWrQBDflnpfP584MoVOgcGaNAgC/7+FODbICFBC2PHBiM6WkvYmhqZJk2i4OHBNMaKzGBsBIY8b+XK8fj1V1eR8YtZsPibjeePidEUIIYFCVkAnjbjWjJ1cFH7b1jg30q7W9B6HwNAWO28SbObcCnxBge8miLkVTHkZCt0TawR8kO3M9DTS8NNnwpITdUR4KN0mZeiPgh3uc+eqo17d0ojI4N1dhTNL+gkenZrhru3nuKnYc3RtvsidB3VG/vWb0XvAe1w7po37l9MQZ8e1VC/nTsOLb6MsY1qwy9VD21HTwWy5MiCOrzPH8GSCaPR6afuWLnpILIzNZESn4hZixpCJcMBxsYZ+GXJBQwZUh9zpx7BmWO/oH2vRYh/HYV2vS0wcehYbNh1BC0aNUE6YjC8915cOueB6NT7eHDfEFN//gX1apTCL/Oa4UVoDoYP8sTxE2OxeUXhTsyfXal0NukcMzsSa18UbEIQraEhwAN/uCNO55276gQl1AZw15zOPx1mVgZndihmPKIzT2eToVRS1XLu8JMVobZBemiKWh3p6fDx9hYidDrDZGUk4TmdV4IDggI68xwHj+OuPXfTCWbEfVVbG42bNhXOMAECGx1khjFRU8IaIwx5YoYuSShOwECnm/Mkc8Kdf9qBDnReU1ERIWRkC6iJYagVnXmRxUqVLHWOqIfBcTNtMcfEY/g3QQNDkQh8yDCwZggzW1ErQoZIOXSNwEkSwRsYGYn0uByfJJonk8K+OD8mBWCfzDrFkK0PtaYtWsDkXRYxAgquFQXjtra2gj0hQ0WwQHBEQEamiiCM70lzZGgVQ+ioYaHmR2KeaN8zJ06IPtg4RgIskbErJwc3rl8XIXpCVF+hgghze/TwoQhf+5qaITUg5s1Eal2GToXIXiGnQAHBguOlYL2+aSORbldRq0PRqP9gJXTqSchaUDtC0bqrXkmUNXAX4vNLsRdxI95bpNwtrNlo22KA/WAhQqew/a+2IgDyYQtKma/4XKzYvge+d9fB0knLEa+vX6jpqzZogYHd2iM8PBwGpqbQfydgD3v9CCumLs4L05LLDTFyTF84WenhqX8gVMxs4GiaJY6p0KMf2lQtjxS5wg+7efEwTly6K+41sa7u6O+miwNHbojvMZtcboCRE3rj+Jz5CDUwEAxlndbt8H3zb4DkZMSlxcNz+8948dokH0uTkWGIDt1bom6V6jA11UdcRAg8t43B/SDzDwKWPzPCFwUgdKCpkyDTQE3Amzc6f9jplwZKAMJaGGRBqI9Yv95Z7PaTAWHYFMXZ3GUvWTJZFN2LjNRCQIAegoM1wc2frKxsGBunoEaNYDRokEGbYt8+4PJlgGngGWLRsqUm9PTsEBRkhdq1k+Dmlorz5y0RHa0tAAhRIHfuCZwYJrVokZtIQ0vwQ4E8wQfZh8ePKYhXE843mRCCBYYlhYToFnrxEYDwHGR4GH7FPpRD0fJuUJo5aNQoSoRUERAQgDRoECUE4Zs2FRdzt7aWwcUlCSoq0Xj9WgZf31yQtebcublmZMQUxWoYMEBb3Nx9fY3h7W0mwEdurhpKl06BsXEWbtwwF9nGKHC/dMlSZPuSQBG1KNSqNG/OMDN7AdYIKKtXjwWvba4DtS8sRkhWh7vJtAmzaL14UfiXsVCDFR3wVViAu6OSA/FvDqgwAML0uQaGaUKE7lYqGGdP1xahVmmpOsjI0BDpdR2dwgVAMTFJRla2KrS15QKYyOUa8H/kgnNnaglgIoGW8hWeY8fhV5gxuRcGDduA26d+QYOW4zFofHes/3Uzps8cg70HjuHmuXCY6Kdgi9cE9O61Cj9YOSBaxwhL9pxDelo6nt5/iMfXPGGVEobdl2/imYoeUmQ5SE/JgK5pKurUrIXB/eth+vLDaNeiDBYtuIQTXhPwQ5+ViHkViVFT3fFNnea4dtsfelqmUDeKx8zRl3D8hAdUNB7jbYgzLLRkSJc/h31pR4RHxmH8GC9s/20kVnl8vgaEO+AECtztpkMs7axJu2ZkLugYO7m4IDMjQxS+4445nXU6qnRQGXrEmzAdzpdBQUL7QdDCmH+yH1JGKe7Y02km00ExuuR8E8zwPKyToa6mJpxhHis0II8eCbE1heh07EXF8nLlhANPVoIPWwIegkuGLREU8XzSDjuZCanIoqhRoqEBOzs7EU7G/gmgOH4+zKm7oPNMkEWAodwIbkqXKSPmTYefO/t0siUAQkaIzj1DzaiZoSPP/2toaopx0glnlin+JpDhWJlti8cw4xT1NExpzO8hmQjOkyFM2rq6eRob3udpW4IOhsLRTppaWkJj8aFGTQztLtbqXSFD2ovzZ3YtFo4kw0EgxvNSB0IbKofWcR60G9MS055SNi+GYBGQSutJ540MkyRIZxFHsjW0rxDD16iBp/7+AlixUcvCvpRDsvgaAaoySOFrDFnjdfp3N1UVVRioEYA0hZteKVHrgylwKRLPeJda933ndNIpLkKtTkWdQGKWoh4NG9kOhnJRC2KuaS4YEIISFhfMys3Ci9RnOBV9XACTglXS33cehmARgNxJ9MWZaEVyhb/SigDIh62nXPejSvvuaFdWB8smLkOsvqII9ofa2xoNsLKyPqYu8hTXPO9PaWllMH1uA3jOWSNADF/rOnAY1GOuYsNuX3EPkclKYtH6/ji9ejBUqozHN9axmLZ4H5JLNcSGEc2xcfgkvDUwQFjNhphYLBlbvW7lVWYnkBg2sQfOzpyHEEND9BoxFsVyX2HT/O0I1dREYsm6WD+sOTaNnCz6YCOQ2TFqMEKe+OLkoUW4FVAK3w/4Hm0buGHz0t7wC7YodK4F7fBFAQg1F9RH0NGmk0oHnmtDBkPxowh/oMNKPQR32SmyPnvWStScoFibO/MEI9RkcFeexyroIGpKVJCVlYvMTEmYLqXoDRP0e8FMIzQGF9LSkvUs7PPoMildb97N4R9Ml0ZGg+Lxs2cVOhjlJgERhT1yBOPDcKaHDw2xa5eDcPoHDQoWDMbFi6YIDY1GREQY5HLGSiuE5pmZv9uXdLiTk5N42PFC548Qjaoqigy+j/L7Kzetos/+Ny3wb6bdLWjRwgCIpmam0H60/M4bVlaxiI42QWysEXxvlsOL5w5QU8uBhkYWrIrFoH6Du3AqHgY19WwBNh74ucH7aiUkxPNe83uRz0pVArB1RwhWrhyOTt2X4fD2SRgyainGzRiGxXPnoPeA7rj3yBuH9obAQheYOLcFpv98FHrONtg6YzeiYlOQLktBdHQkPL22ISklEbHRrPWgiTRZJmRpchhZakKepYLtq0dg8ebjaNXEAR6LL+HckcXoMnAxQvyD8OOUcqhetTkePqYYOwdOJeWY/fNtXL2wEmHx3ujf0wsq2Zro2L4aBo+shOsPHmLqj+dw8eIsLF/w+SFYZAzoIEtF7ujkMn0q7yd0RnmfIZtBx5fZq8h28JrhfYdCZTIodMSpq6BTTgebDqdUS4L90cGkk81ihGQ2WIuDgmzpHk69h1QMkSl0+Xlm0GJWKTIdDNsSBQH9/EQFciHOvnRJVB2nPoFhSbzf0XEm88CxSvVB2Dd37LmbL87Honw6OmjavDmCgoIQ8M7R5ufJYBDoUPtQMCMYw5DIwnAs169cESFN7E8CIC2++07oI5hpiuFLDKfieej0sz86+5I2hIJwsjh0dJgSl7bhHKjTYGgWw9EY7kH9BBkj2pC1ecg+8DeP43kJ2ghkePyHGteKhRxZg0OsVVyc6ItrRc0X15oZuQgeCPaYxUpilZT7FbVfHByEnXm9sDEZAZkTglJJoM5x83XqbDhvqao7z0HAK4Eofr5l69YCBCmDDaY0ZsYhAh2p8TVR34Xxx39zIzggYGhp8R2stKxETY9YeSx8E2/iRaqioOX7GhkOVionKEjMSsw7hICGjIephhnqmtZHSb1S0FTVQHZuDp6lBAhWhCFbBCMFG8GLeHaLq5s/uTDTMEdnm264m3gHPkUakL959fN3V7Dux5vqDbG/ax0s7zMer97dZz40gOjiFTDjGwcsXeklvsNsMS6V4NGpCjZO/xVxenoIr9UAnj80xPI+YxBsZCS+f8nJtpi5vAv2D5sMo/6j0aJYAn5Z6oWe46bCBc8xa9l+0V9ozYZYVsUCC1bsyQdAhkzsgfMz5uJ+tfpY3LE2Nvy8EFF6euLewXtQp1GToB9+DtsP3EdGhg081v6EwKtrsXb3A3Ef4f2Ex1Xo1B/dyuliyeRlSKCw+BPaFwUgnzCu9x5KATp3/PfutRf6AuWsS1L8m7QDo8iMlZ2XJYuZesLCwvJlQFE+CS8iBwcHUUBGcswl5KqMYAtDs391jn/2eeX4Pin+joBu1KggXLmii3nz0hEamvyntRiYnYG7UdKFUwQ+/qmV+u/3+2+m3S1o3cIAiLpGFmxto1Glmj/U1HMgS2WxUQu8CrZBXKzRZy/WyUtHcObEFLTtOBf2tup45h+B6UvH4fKZ6zA314GVtQrWrPBDtiwFi1Y0wPbtL/EqKg6LJ26Frp4OHj32w8uQF3j2gkXkMvDq9WtoaqggPSMb6WlyWNibIl2egRljv8cBHz+0a+iAOfPP4tSBRWjfbwainkdh4swKcHNuhBRZPLy9X6JEmUzs3xqD4SM6wN4xFt16/QYt6KOkow5+Xdcfp655Y/bk8zh9dgo2/vr5IVhkPxjqlCM2fnKFFoK743wYsVgenU06o3R8+X/lXfGPMbjEpIh77btMSXTEyWBI90EKnPlDR5xOMXfiySBI5+Iuv0gDHB8vQry4m08tgnCCCSiY/lJFRTjTHKNywT5+jmCBr0vn44OcIIFz4047wQrZG46RQIOfVxa3c54M3arfsKEYG1kTnktyrDlOhlURqNHp5uf5DOJ5crKzIUtPF+FY0r2eD3uGKhGk8IeN/ZKBIiOinNnrY2z8bx5D+xKUChu+i78m8GK9Fq6h8ntcX5EBLDPzX012UdBe6ioasNW2RRWjalBTUYcsOxVhGWF4lRaMuMzYfIcTXPAfvyMM2yIIeZ76DBk56YrvEH6vyfVvrsuHzl3EgPy5dQpWPY8qXgEbR/2AA0v64e4b60JZgWiX8ljcsQY2Tl+WF7JFULK4UzVsnL4cERo2GDdrLJIe78Umr4d5IIXMiVeXelje+0cY9RuFdvaa8JVpo4G9AdaO+AlB74AKAciKysaYvWyvuMcoNl7sMHNpN+wbOQXW/YbDLfcRNu29k7cJz+9ldPGKWNK5BjbMWI7HjVtgyzelsXT8QkTr6wsfWdKypaWZYez8HyHz34cdBx98UijW/ysAwnCrCROe4cIFSxw9aivqThRs0g1byjSiDET4EAsJCfngjYxxu4xzpcMuGVmZGfiSYKQg6OBclednacmsWC8QHJyJ0aNz8WeZFRmDzB+xU6nEfCgLjf4tYPW13nCLxvV+C/zbaXc/FYD8U+t46ORhnD85Dd93X4CsbCAhMhxLtkyE1+7jCH8TgNnzxmHcKE+kxCVj6Ypv8PO0CzC3MUKjaj1QsWI5ZMuzEB79BmlpGbj34DoePX4CNXUVpMuykJaaAWtnM6QnpaNxXXeExL7BT0M7Yui4LTi+1wPt+0xHVHAoFs5vgPhkc1St7IZ1G46jUWMzZCeUg6WzOcyMIzFo1C5kp6pClpaAm94rcP3hNYzstwu3bq/C4vl/PTXnP2Xbv7tfVm1nqBL1IMqV0P/u8yj3R8DAjFSNmzUTtUCkauU8RmJAyLTwb4ZPFaxP8k+OrajvIgt8qgWKAMj7Lfa+qudJSXZYuHkcbu3qgHO+DoUCkORkG/yynGBgKkKMjMTxBBdbm5bC0okeeF6xDlYP+A5bB4/Hy3eggn5g1Y490KOeE5b3HicAyPCW9SCXJ0AGXSRFhsBz+2Q8DzFG9Y49MLBFg7wJpMbGQparA13dGCzrPQ7m/UbB+O1cnL1pmy9rV0qKDWYu6Ya9o6ag5pQ50H57HFf8NOBWoThc7e2hZ2oKUz0ToQXJyEjCOc9NOHztSZ7O5GOusf9XAIS6ip9/DhDZlihyfh8AKeikc6F+rxXCAl3pAoRw50nZwS9orD8DIjzufcyI9Pm/4sgXHI/0fwl0SL85h9DQUADRWLYsR2T4GjAAiM2/8SIuBLI6pOol8CGFXCmHmf2VMX/MRVZ0zH/HAv922t2vBYCcOHMMnp4TMXC4BzLSgcT4GPQa2gRWxrYIfHodI4cOQ+eevyAhJgcLF9THtNlX0KRhObRsNg45cjnMzI0wadpEqKqqwMDIGGFvQwRDk5qWgdSkbFg7GyM7I1ck89SzUoXHpAEYMnE1Dv+2BG16j0PMyzjs3zsUC5ZcxJw5AzFo4CyMGlkP48YfQYvmdTG0fx30HbsBGplqiItIw1XvObjoewnTxu6Dz42t8JifX6/w37lC/zgTiqFZhC8oMFDoPMhs/NNNSsPLFL+sccEQIqlJAIQZnhj+K+k83hci/E+Ps6j/Igt8jAWKAMj7rVSQ/eBRycl2WLBpHG7tbI9zdxwLBSCpqcUwe8VgnFk7BPdeW/0BgHwzcSa0Q09i0z6/vArroo7Q8Ilo4KqOFX0mCADyg7smPMYuRqi2NrpMmIWmpSyweVkvHDfvjFVVtDFl0V7hE5YoUQIqKmboPuYHXPh1IHKqjodp6Hycu2mbDzykpxth9Iwh8N01Bg6tPaATdhcvIxRZ/EQ2rrAwxJGtZQiopqbwMSWG5WOuKR7z/wqAGBpmCkE4gQeF3xRsv6+R1WUmqA+xIQzJYswowwY+1EgNM7czf0gFK+sllMHI3w1ACoIOjpNxuLGxsWAIDN+nqLx+fdYqUVR+Z9FZSa5C0EHWQ1tbR1xUcrmC/cgX3qAEpj72gik67n/XAl9D2t2vBoCcOoDfdk/DhGnrkByfDrtiVrB0SMKrV+oo72aEKeNHo1Of8Qh5IceR/cPRdeBi9OzRDts3n4WNLB3p2lqQ5WjALDcX6vaGCIlMhr6+NlJT5UhOSIe1iznUVVXR7bv6OHf3In4eOhQjpqzAgS0L0GnYdEQ/j8aJY1PRtdc8nD+1HrW/6YVV8weg79ANcC/jgtnTOmHM9C2Qy1QRFyHDtUuzcfT8KSyceQIXL6/HyqX/OwCENSoaNm4sslpR4FwwVOrv/kbzHkuBOEEPixAyqxPDpQoCENbmoB7G5z11QP7uMRX1V2SBv2KBIgDyR+u9j/1QABAbLNw0ATd2tce52w6FhiQRTHQYPgHJviPzjleEYFXHxqlL0HDSL0i+NRKnb9nlMRTRzuWxpndH5OomYmu/KTDpPwody+pi6aSliNXTQ1KSIxZu/RG+O9tjV0w7LOlcDRunKd5TOP6mGDVzEO7tGoMjtt2xvKpZPo0IjyEwmkNgtGawACBueIKZSw/m6Uh4jJSqN9XGBo3sLHD79n84BOtTv0AFnXgpLEtiRBiTSyaBMb0fYkOk8zJbCvOVM/6ZwEQy/l/RinwozIqgg2CD4yP4+Jg4X47LxsZGZHYhIuUYCwKPLxlG9qlrVnT812kBXqeRSlmIvpZRFqYB+afGeeHiHmzdMhdDxi5BlgpQ3NYYZcoYYOdvDzFrxg/o+F1rjJ++AJcvheHInsEYMHYj+g3oiCUzN2Jt19ZYfPse7vlFoLKNKeQqyXgt14SOnj6y5BmIjUqFg5s5ZGkZmDCkA3afOogh3Ttg9qrDOP7bCrTuMQRxb+Tw8vwREyZvxq6tC1C3cVd4zOuPydMPIi0lDft2TcLYnzcgLVMVUSGpuO29Cr8d3oDVy3zhfWUdPBae/6dM89X1y40jZlMiGKDgnAXwCualYXw+3/87Gu90LTTuAAAdQUlEQVSvFG+zojdTazIDFrMxFQQgkp6DQnyKxKkH+CfH9XfMraiP/00LFAGQP677+9gPHsXQpbmrBuPMqkG489rqTwEI639UUrmPwJcG6DhiAgxCT2DLAUXxwjxdyDsAUjL3KWYtVzj/iU4lMbdXF/juOI3qI1rjwvIBOGzbEwe61cbSvuPx2sgIycn2mL95HO7sbI+dMW2xdnBLbBo2CW+NjcVElEHPoYt1MHtRX5zbMQJ3gxUaaD7vQ2s0wj5qTPr+iOvNOuBQz1bYurgn7rz6/Rj2FeNSHr+NHYTQgItY+KvXe4sv/tm35v8VA/I5X/2CYUzK2hDpb4ol+aCgwPBjgAjHwYcaq+2SaeBvUu6fAkTeBzwIMKhT4Xj4U1iYmLI9eGGS8SBAkoBHwXCrP9OyfI5diz7zv2UBXpf8+dravwVAzp3dh/XrJ2HQ2CVCHPx9hwZQRxSWr7wMz98mwFDPAgvX7MAD30hsXdUDP83ejWULpqFT15/gNagT4lyd8H2/WQjZswQDNm2Ar28ADIxtkJKahuQEGYo5mkMuy4AsMRJlazmgbZN6WL3lOI7sWY1REybB714ibpzzwLgZG7B00Ri4lWmPDeuGYeJkT6iraOKQ51RMnLUa4ZE5iI2Kx53r2+F5aC0WzffGpfO/YsWyv14d+Wu7Fr6W8fA+y3S4TL/L+iCsYcHMXAUByNcy3qJxFFmgMAsUAZD8Fvoz9kMCIJLAO+QDWbBCa9RHN+zGhevW+GHkRLjmPsHsX48IIXi0czmsHtgaW4ZMwPXmHXGyf2ehs5BDC5rIxLZF3eATaIKuP06BXthpeNzTwOaxnXDQoy/OqdTHogH9YKoSj1WjJuOxmjtmreiKvSOm4PW78dD/7DB8PJJvj8Lpm7aIc62CTSM746H3VfjceYIyVWqjSaPaeHh+NTbvfyRAVOXv+widSYDfDdzyewYNDQNUr19d6EEe396PncsOIEZP77+rASnsS/Kh9/+MDVEGJHT6GZb1KUBE+ZzUjfDikdgRpqT8s2qSPAcZDoYD8Ef6/6fOUaRBtLISIWJFwONTrVd0/MdY4GtKu1twvP8WAJn8Yz+kpaVCTV0DKqo5SJXJoa6aCz0dA8hkKVDX0EVWlhwa2lrQVFVFpkyGXDV1kbVJNzIEag7OSMnMhnHMG0zbfQbnrlyDHJpQVwV09bSRkpiEiye9oCLPgCwrA5pq6sjKyYWJoQlSkhOhpW+ErJRI3Pd/hJrVqqHZt90wZmRX7PE6j2I2thjQpSmmzvGAHEawtzXH/NkTcODIeiz99Rr8ruzFTI+9H7P0Rcd8hgUIQJg6lkUWmRaY+g/lUF9JA/IZXRd9pMgC/4oFigBIfrMzCob+3fsaa2w0bFgWARcufDAtrUxmjBE/d0PEgxA0bN8cjy78is37AwTLQQCycWRXeC3tB99gc7i4VIKFhRays6Nw/fpTcQyZCsl/TU93xqLN42D/Lg3uA99D2LNkL6L19MTGeNu+ffH2ymLcf2WZp+GoUK8VyltGYruXr3hNJjNF+54tUbu8G7KyUuB9+gBOewcIn1ZKuRvvUBrj2n4LF2sTMfU3bwJw9fhyPAg2EsdJhQ4/9iL9zzMgyoZ4n6j7zxgRhj2pa+qgQ68hkMsz4LV1NZIT4z/Wrn96nNo7J4S560uWqYiKNeuhmJ0jMmRpuHvjCl69CEBEmEKwyHSMGemyvL40tbRRsmxFtOrUE/d8LiM4wA8G+grEqcx2SDqVL1nP5C8bpqiDr9YCDP/jjeJrbP8WABne6zsYGBsgB+rIzc6Cmqa2+L7yXkHdFcNpVFXVkJuTDZksFZrqaoCqOlRUVKGXLcf9W7ewcMcBDGxeE+uPnsPWrVuBnCzkqqtBVeT1VxPARlVFA8jNhoqaiqL4VKoMmtqaIszK2MQMamoqyIYK1ETNgHTFA0meLZZKnpkBTW0dZGWrQFdTA1k5mciR50BFSwWz563/GpezaExFFiiywFdogSIA8vui8D7MTd8PJe+REkr82Qa08O9yclCldUe0q14RkW9uYM/SfXkMAvUXfYfWw42VG/Ha0FBE5ij3WbBfvpeWZorixQNFAWz6hFLiIZ5L2gDha1KTUo9LvqOUsEkK9ZcypirPUzmrLPvhe+877mMv4f8pACIZRRmISHnjpQWW/q/K6rrV6uGbdj3g73cbGzxmIiqcmafe34S4W00N+gasLZALN/fKCHh4FylJCcIR4WtSFVxjU3O07NgTlWs3QPibV4iJigCr5laqUU/EIftev4iTXjsQHRGWFxLG/q2K2aFz/xGo0+RbeJ89jHve5yBPV2QleF9BwQ9l6/rYC6TouP9tC1AnxcxXX2v7twDIxLG9xS5Ubg6QnBArvqdaTEcHQENLW7CaqipqIjSTN1m+r6vD6usZIg24qqYGtDU1kJudi4xMGbS19KClY4BMeYo4RktDE2npMmioa4r7BvthCmQtbU3x+azcHOjq6ImHEtkRrhF35dLkMuhr64k+tHW0gBxFrQ6RuURJYDB74cavdUmLxlVkgSILfGUWKAIgvy/Ih9iPT1023tsJDpQdefahDDg+hVWQfNt/OrPp33We/0kAIi2w8m9lIMJUUobGZhj482Lo6Orh6QNfHNy2EsGBz0QcPH+UNRwKbYUqipcsjS4DRuNNcCDU1NVw6LcNSIhTOG/qGhqimBIBSsvve6ByzQbYtX4Jnvs/EOCEFUxNzCzQpHUndOgxCPt3rMXhnRtFGk6GdllYWqJK7UboNHAcyKJcOuaJO1fPIEOW+odK5kUi80+9DRQd/2cWYLY4qUL012ilfwuALFyyFFCRCoi9y8an+Bq/a3yvQJa+fO/zMOkY5d8fsrJyfwX7fzeWXFWlcbEv5bH9XvBs4o/jv8blLBpTkQWKLPAVWqAIgCgW5WPYj69w+b7aIf3PAhBpRZTZEAmQaOvqo0m77nBwLQttHT0EPfHDqX2bkRSv2OkkWCEIYbVcCsW5I2lsZok2XfoJKBEaEgQn19LYs3E5EmKjxak0NDWRKZfD2a0sBo3/BWcO7YbPhZPIYBGBd1QWL273StUwfMpCxEX/X3tnAhZVucbxPwoIAgIjiyC4gbmLCiKa4JYrqVdEU1u0csvE61KXym5lu5kg3WxRcyk1NRFNJTVUzExxRSTQXEAFZJVFcNjnPu83nnFUQDNmhmHe73l8hJkz3/I732HO/7xbOvZtXYu87Ayhju0cm2PYMy+heUt3mJg2wm+7t+DssWiUligtIOoB5lJ/dXbX8cT0ggDtbYqLqstNZwIkJERg2bp1KwIDA+9BtG3bNgQEBKhekywQxDIyMhITJ07UOdLg+fN1PgeeABNgAvpBgAWI8jzVpvVDP868Zmdp8ALkfiFCv7du7wHfEYHiBt9n4NO4eikBUdu+R9Gtgntqi0iChWIzeg3wh1NLN+zYsALOLdqgbadu2LrmS6SnpYjPkGgoKy1B38EjMXTMJKwOXYScjBuiEBll1KLAdfLPa+bSEv4Tp6Oiohz7wtchK+26EBeevoPRrqs3crNuoH333jiyNxwJp/4QfbLFQ7MXiSH2TiKb6ibU9eJouhYg2tob4sGHAjCqKEXauOloqKiAorIcaGCEskqg5aplQFM7VDZQumM+rLEAeRghfp8JMAGJAAsQtn5o4mpgAXIfVfqit7Cyhr2TK+S3CxHw8nwk/xWP/RHrcbtQKUAk4UH/U9xH63Zd4Tt8LI4fjMS5k7/Dy3cIXN3aY+9Pa1SB68YmpigvK4V7p+7o7z8eB3ZuQsqVC+I1akofQGO4tHkCI597BdevXMChnZtEDAm9RxaWJrZN4di8JfoM+RcO/xKOxNNKASJ9XhMbhPs0TAJSGui6vnpDESAkBMvKymF6Mg55Hy2F7dchyJwxBw69vZEbcwpJNtZovzoUZqbKYqkPayxAHkaI32cCTIAFyN09wNaP2r8eWIBUw5TEQFPH5hg7bQGSL8TjwI4NkBfdjf2Q3CrsnVtg6LiXkHQ+DsejfxEipWf/4Wj9RGdEbl6FW3k3xQiSBcRaZo9+/uNhZW0rgsiTLpwTrllGDZRuVj6DnoZ7px4iBVrsH/tVT6BJhFBwa1dvP/Qe/C/8vmcrEk8fVQmQ2t8a3KOhEqCYD4r90IemawHSoUMH4VZFBU3Dw8Ph6uoKd3d3UVeIioGSkJs5c+Y/RknBihRYbn7+CvLeegeKBqYoN6oE5cwCKpDUqhXaL14EMzPTRyoExQLkH58S7oAJGAwBQ7eAcOyHZrY6C5AaBIhD85YImDofSYlncWDHRiFAqAnx0aAByPXqqTEvwMrGFrs3fCusHZWVFfDqNwxt2ndF5KaVKgFCx5aWFAsh0sy1NfoOCxCB7qnJF3H98gVRBfmJLl6wspHhfGwMzhz5Ffm5OfdUxqU+PHoPgM+gUTgc+RMS1Cwgmtke3KshEqCMShTXpA9N1wJEW4zob055aRlul8ghl5egRF6K7IXvw2bRG2hsYQ4LczOYmpvD1ESZs/1hjQXIwwjx+0yACbAFREmArR+auRZYgNQgQBxdWiFg6gJcSTiDgz//qBIg9JEGDY3RuWdf9Ow/Ar9sWon0a1dE3AY1T7+haOfRC7vWLxciApSi06wxSopvi5S8lBGL+u7WZ5CwdlAWLMqilX8zS1g+0pIvQl5UKNJvGqmlzqSc/h4+A9Br0Egc3r2FBYhmrgmD7pUKYubl5ekNA10JkA8XL1YxkqyhItXtHRfNqgDS+2TFkAqGVnWMJB6oH/pZyslOx0o1i+g16Wcp/bZ6LSD1fqUxKWWweqzY28HBenOOeaJMgAnoloAhW0Dob6uDg7KAH7faJcACpDoBYmwMV7cOGD05CBfPnXxAgDi1aIPBgS/iz5O/Iy7mkCg4prz5MEKXXv3Qpacvdv6wHPk3s1GpqEQjM3NRbJBiRsi9y7mVO54cEiBiRQrycmDe2BLGpqZISozDH/sikJl2DRXlZffc0Jg1tkAP3yHw8hsm4kPYAlK7F4Oh96Yvgefq50nXAoS+lFq1aiVSZdPPcXFx1W4j+iKjnO8k8qqrohsTEwNPT09x3Z85cwbe3t5V9kfvde/eXbh6OTk5VTsmudPReLa2tvckFGABYuhXO6+fCTw6AUMWIDKZTCQK4lb7BFiA1CBAWrh3xKgXSICceECADBrzApq3aovfdm8W1YYptoMEArlYUQA7WTjOHj2I9OtJyEy7KsQEpfE1t7BCyyc6wXuAvygiSO5WlOaXnmT26DsY7p09RW2Po1E/i+D3sjtpemmalB7Yy2+oECEsQGr/YjD0HvUl8LwuCRCaCwkLutE3NTVVVZytaS9JFpOqjiGBIlkryA1OvXKt+vHlUGBf8AcYsuRtGFdW73IlZTGjPtWtKSxADP1q5/UzgUcnYKgChP5u2tvbPzooPvJvEWABUq0AMYFbx27wf3YmLsQex8Gf78aA0EcoOxal3SURQZmoKJBcoaiEolIBGzsHIUgoAJ3iPrLTU0TA+dW/4tGtz0B06/OUsKqcizkkslwpyAXrTkYt55bu6DVolHDL+mPfdqQm/aWaYWPLJkK4ePQZiOgdG9kC8re2Oh9cEwF9CjyvCwKEdxMTYAJMwFAISAKEHrZI/+ih6f31x+obDzs7O/FgiZtmCLAAqUGAtO3iieETpuNCbMwDAqSdhzcotS4FppNrVbH8NioryoWbAwWKk8g4FrUDeTkZKCspQdGtfOFWNf3tEGSmXkPUtnUiY1ZlRYXaDIxEfEjLth3h89RoXIo/hZgDu+4KECtr9Br4NDx8+ov5JFAWLDULiWa2CPdqCAT0KfBc/XzYyWRo2rSpqkCoVChUKjquTJrNjQkwASbABB6HAD0czcjIQEZWlkp8SDFn9VmAkNsVuV9x0xwBFiA1CJCOnn0weOwUXDh7HAd3bBCCQWo1BZxScLnPU6MQsToUmalXxc1RYwsr3C66hfmLV+No1A4ci/q5yoBVyq5lbWsHv6efEcJm75bvVGNaNrFF78Gj0alnX0Tv/BEJJ48ICws3JvBPCOhb4Ln6WunakkQHuRhJAdo1BYP/E1b8WSbABJiAIRKoKuFFfRUgtC5yvarOBdYQz78m1swCpAYB0rmnr0izezH+FA5sX4/Cgly1o+m5QNXPVz16DxQCZPuaZchIvSqyYFGcCLlrzf1kJQ7t2ixqfFR1k0RZsmztHeE7YjzyczKFpUNqlta26DNkDDp79cVvkVuEC1dJsVwT+4L7NBAC+hh4XpUAoWtJPTsUHcMixEA2MS+TCTABjRKQhIayYHJDEbMquWBpdGAddU5JQij1LjfNEmAB8jABEvACLv15Ggci1uNWvrKo4MMapcqlVLzb14bhZuYNcbixsQnKy8sw850wJJw6giN7tomaIffeJBmhoTFVQ28nBAxZOM4dP/SgAOnpK+qAxB2LFql9uTGBxyWgj4Hn969V3QpCgkq6pliAPO6u4M8xASbABO4SkFLQqguP+mz9cHR0fKR6SpreI1ISkftrO0nfefefg+per66fqr5L6TVtpRxmAVKDAKEg9JHPv4oriWexP+IHFORmP9J+6+rTHx09n0Tkxm9E5itqZNkgweHnPx6UXevX8LXITk8V2bFEMzJCAyMjUKA51RaxtW+Gw79sRVbaNdWYUhC6p+8QHNkbIawoxfKiR5oTH8QE7iegr4Hn1f3RlP74svDgvc4EmAATqH0C6pYQbd6o1v5Kqu9RG0UHS0ubYNhIL5zaEYn8alL8lpQ0wX/en4eshEisD48RgoheC3h2OPp6ekMms8TN9KvYtHYuzly2E+/ntO2Ml9s1RviOo8JSRa201ApBr0/Grg8/wXULC0yYMgW/f/UV0iwtVRDoOzO/lTv+PXgATFCC6L1huHjNVuNChAVIFftQmBmNlVmwSICkJV8SLk+52Rkovl2IinJlwcHqWtde/eDWqQeiwteprCYU26GorBTCYuj4l4X31qnDe0WMSHlZmSg4SFXQu/oMgFMLN8Ts34m/zp1QjUVzEuJkgL+otB57ZL8QIBSXoh6bos0LlcfSbwJZWVkifWx9aOqigwVIfTijvAYmwATqGgH1J+PaekquTQZ0E0/WD02vLdu9C9bNmYbLcb/ii28iHog1oe8w74BnMXVYPxyJXILV4eeR36Ebvp8zA1cTTiAy4jPEJLZH4NRAjO7XDt+FThYi5Eaf/ghuVog1P8WIdO7USLTMCn4Ov773MRJNOmDRZ89j47y3cN3aWqyTxpo47RV4uMqwZftGZGdbYcSkEbhwMAgHjjlr1BLEAqSK3U1uUHSzT/EW3XoPFHEWaVcviUrlxw/uRm5Weo3XRBdvP7h16o6obd+jMF8ZNyIJECpC6OreHv38J8DSRoacjFTkZWeISujNW7cVqXvjYqJxKf60SO8rNZqTo0tr+A4PROv2XZGXnYmM1GRhYdkf8b02r1Eeqx4QKCoqArlf1cfGAqQ+nlVeExNgAromoOkbc12vjwq2mpuba3waWW264KOh3ZFj6Yi06CDsO9ZcZbGgwcmSsXhMb6QWOqNh6gZ8+YMcod/OxeXDK/D1j7Fo1KiREAZUN8pj3MuY1KUxlr4ZgviBIxDqaY9Pw368R4DMDH4OUe9+hESTTnhv6SRsmbMQV21shABJ7eWLVYM7Y9nrnyLD3Fy8ltPGG9+8MhQrZ7+F1CZNNMaDBUhVAqShMWSOzhg8drKI3ahUKFBUkIvcrAxRz+MBVywjo7uKWQERw0H/zh7dD3lRoXIEUpqVleJH00ZmaNaiDdw79YDMwVmoX0rTm3UjBVcSY4UoEb7sd46nz1B6XreO3YV7FrlzicKGeTkixuTI3m0a2yDccf0jQMHamZmZHKRd/04tr4gJMAEmwAQeg4A2iw6SAFkS6IMNG/7EtNl+WDXrTaTcCXon96w5b8/EiQ1z4TAyDPY3tuPDNGesG/oEQl5bjCxLSyFWSCjQfeLt200x75P5kP+5CR+nOuJ/Xlb4IHSzqqDt7dsueC9kEjYHLcRpTz+sDJqIg1t2Ij0zEwXl5ejhH4hbMUH45VhzlWghYRMYFIyCk/9GVIyLxqwgLEAeY6PyR5iAPhPIyclBScld65o+r4XnzgSYABNgAkzgnxKgelJkWdBGIwHy+bg+WLFwCfyCP0CTG3uwNjxWCAuySIR42uHdT6MR/Nk8FJ37HjedAyBLjUB0bCO082iNtq6usJDJILOwFbEgJSUF+HXTt0h28MHs4b6qJRTl5ECuMEfjxtkInfIaTnn2x4qg8ci/fAOVNjZwcnBAg4oMLJu8AMm2d2M+yIvguvdAhHnZYvH/tmgsHTELEG3sNh6DCdQRAnK5HLm56umk68jEeBpMgAkwASbABHRAQNtFB1O8/fDdU52w7M3PcL6zL76eOQKrZgXjspmrCDyP3/cSdh7ywIIP56E4fi1uOI+HTdoxJGUUq+I2itLScLOiAvKEBKSamgqRkP7kUCz3NMPCzzYLMePu7g4jo6Z4du447P9iOvaYDMVX00dg7bTXcN7SEqWlTpj9zgREv/uxyiVLwp/Sqx9CezTFJ2GbNFYNngWIDjY7D8kEdEFA32t+6IIZj8kEmAATYAL1mwAVHZSCtrWxUrq5Xz2oA0Lf+hxZZmYYNycYlmn7sPRsAywd3wsr3l6KdNPmmLtoAYrj1uKGy3h4IA6Llt0bsC6l5y1ycsIAVzvszjLB0md6YOV/w5BjYSGWUlwsQ9B703Fm4zxEJ/TE+2ETsGX2QiRbW6OszAZz3nlFuHudvHZv6uHM1h74fJw3Vry7DHl3+qptNixAapso98cE6iiB+lDzo46i5WkxASbABJiAHhLQRdHBrNYeWDKuJ1a+sww3LSxw65YL3g+biJQ/5TAujsaan5TuWAGvvo72injMOF6JnVOGYM2S53Ey2V68JyVbyXbrih/mTUdq4gG8visJ38wchlWz3kCKjY04G/Tgkfq5dSIIEQf6qgSIFITuNWYSOijOYfVPp1UijPr2CngOg5rl48OwbWwB0cN9zVNmAnWGQGlpKbKzH62OTZ2ZNE+ECTABJsAEmICGCFAgty6KDlIMyPKp/vhu1hu4Zm0txES3gBcwbZAH1ix+TlgjaG6Br76GbrJ8hLy+FC6TZ2P28L5IjD2KmNgLMDGxgreft4gHiT++FetDw5Gs6IgPvpiAzbMX4tqdLFfUd8Crr6HguFKAfLp8KvYsn4FT15uJMeRyG8x9bwZSf/8Z2w+dEwHn2W7dsW7ey9i7bhT2xLhwDIiG9h93ywTqPQH6A0Tio77U/Kj3J4wXyASYABNgAhonYGVlBfqn7VZcbI0p04dj79ffIfeOe5PS5ckLK/+7DDctLZXpcF3cEeBshKgjCeL33BYdsGC0P9ya2YopX7+eiN92LcPZJGuVlWL0iy8i5dASnEl2UMWLePiOQFeHDHy1NhNLVs3HHz+ORdTxFqr35XIZZi2YjB4dXFEGE1g2aoSzJyIQ8uV2EZivqfTL7IKl7Z3H4zEBLRMoLCxEQUGBlkfl4ZgAE2ACTIAJ1E0C2io6WNXq6aEguUbRjb0Ux0G/U4p8eo0CyqmJcgwKheo46Rg6jpoomt2woSotL71GKXSpSX3Qz3Q89VNWZoexM0bh4v4Q/JXSVCUs6D06hh5Surm54eLFi+LzFBcjzU8TZ5EFiCaocp9MoI4Q4JofdeRE8DSYABNgAkygzhCwtrYGxX/oY5PiP/6uZUISPrRmEi73N/Uivn+378fhyALkcajxZ5iAnhDgmh96cqJ4mkyACTABJqAVAtosOqiVBenpICxA9PTE8bSZwMMIcM2PhxHi95kAE2ACTMDQCMhkMlDtD266JcACRLf8eXQmoBECXPNDI1i5UybABJgAE9BjAhRUTVXPuemeAAsQ3Z8DngETqHUCXPOj1pFyh0yACTABJqDnBLRddFDPcWl0+kKA+Pj4KDQ6CnfOBJiA1ghQ8BjV/eDGBJgAE2ACTIAJKAmoZ5hiJronQIHw/wep/EOp8BI2FQAAAABJRU5ErkJggg==">
          <a:extLst>
            <a:ext uri="{FF2B5EF4-FFF2-40B4-BE49-F238E27FC236}">
              <a16:creationId xmlns:a16="http://schemas.microsoft.com/office/drawing/2014/main" id="{00000000-0008-0000-04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171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18</xdr:row>
      <xdr:rowOff>0</xdr:rowOff>
    </xdr:from>
    <xdr:to>
      <xdr:col>55</xdr:col>
      <xdr:colOff>94774</xdr:colOff>
      <xdr:row>60</xdr:row>
      <xdr:rowOff>94774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BDE9AB4-2538-4725-A247-520B14042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238250" y="1714500"/>
          <a:ext cx="4095274" cy="4095274"/>
        </a:xfrm>
        <a:prstGeom prst="rect">
          <a:avLst/>
        </a:prstGeom>
        <a:effectLst>
          <a:outerShdw blurRad="63500" sx="102000" sy="102000" algn="ctr" rotWithShape="0">
            <a:schemeClr val="accent2">
              <a:lumMod val="60000"/>
              <a:lumOff val="40000"/>
              <a:alpha val="40000"/>
            </a:schemeClr>
          </a:outerShdw>
        </a:effectLst>
      </xdr:spPr>
    </xdr:pic>
    <xdr:clientData/>
  </xdr:twoCellAnchor>
  <xdr:twoCellAnchor>
    <xdr:from>
      <xdr:col>20</xdr:col>
      <xdr:colOff>0</xdr:colOff>
      <xdr:row>1</xdr:row>
      <xdr:rowOff>0</xdr:rowOff>
    </xdr:from>
    <xdr:to>
      <xdr:col>49</xdr:col>
      <xdr:colOff>0</xdr:colOff>
      <xdr:row>16</xdr:row>
      <xdr:rowOff>0</xdr:rowOff>
    </xdr:to>
    <xdr:grpSp>
      <xdr:nvGrpSpPr>
        <xdr:cNvPr id="5" name="opp_card_cont#cont">
          <a:extLst>
            <a:ext uri="{FF2B5EF4-FFF2-40B4-BE49-F238E27FC236}">
              <a16:creationId xmlns:a16="http://schemas.microsoft.com/office/drawing/2014/main" id="{C44118C0-D090-4FC9-9AFB-B5673234B25B}"/>
            </a:ext>
          </a:extLst>
        </xdr:cNvPr>
        <xdr:cNvGrpSpPr/>
      </xdr:nvGrpSpPr>
      <xdr:grpSpPr>
        <a:xfrm>
          <a:off x="1905000" y="95250"/>
          <a:ext cx="2762250" cy="1428750"/>
          <a:chOff x="6096000" y="5048250"/>
          <a:chExt cx="2762250" cy="1428750"/>
        </a:xfrm>
      </xdr:grpSpPr>
      <xdr:grpSp>
        <xdr:nvGrpSpPr>
          <xdr:cNvPr id="6" name="opp_card_bcg#sprite" title="opp_card_bcg#sprite">
            <a:extLst>
              <a:ext uri="{FF2B5EF4-FFF2-40B4-BE49-F238E27FC236}">
                <a16:creationId xmlns:a16="http://schemas.microsoft.com/office/drawing/2014/main" id="{D3519686-2E0A-4724-9211-B1F5F82DCC7A}"/>
              </a:ext>
            </a:extLst>
          </xdr:cNvPr>
          <xdr:cNvGrpSpPr/>
        </xdr:nvGrpSpPr>
        <xdr:grpSpPr>
          <a:xfrm>
            <a:off x="6191250" y="5143501"/>
            <a:ext cx="2571750" cy="1238249"/>
            <a:chOff x="2657929" y="9810751"/>
            <a:chExt cx="2326821" cy="1238249"/>
          </a:xfrm>
        </xdr:grpSpPr>
        <xdr:sp macro="" textlink="">
          <xdr:nvSpPr>
            <xdr:cNvPr id="11" name="Прямоугольник 10">
              <a:extLst>
                <a:ext uri="{FF2B5EF4-FFF2-40B4-BE49-F238E27FC236}">
                  <a16:creationId xmlns:a16="http://schemas.microsoft.com/office/drawing/2014/main" id="{7FD51650-CD26-49E1-85D5-B8EE01789BA4}"/>
                </a:ext>
              </a:extLst>
            </xdr:cNvPr>
            <xdr:cNvSpPr/>
          </xdr:nvSpPr>
          <xdr:spPr>
            <a:xfrm>
              <a:off x="2744107" y="9906000"/>
              <a:ext cx="2154465" cy="1047750"/>
            </a:xfrm>
            <a:prstGeom prst="rect">
              <a:avLst/>
            </a:prstGeom>
            <a:solidFill>
              <a:srgbClr val="525E62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2" name="Прямоугольник 11">
              <a:extLst>
                <a:ext uri="{FF2B5EF4-FFF2-40B4-BE49-F238E27FC236}">
                  <a16:creationId xmlns:a16="http://schemas.microsoft.com/office/drawing/2014/main" id="{A65FF4F1-B0D9-4094-9B6F-BE962203C3C5}"/>
                </a:ext>
              </a:extLst>
            </xdr:cNvPr>
            <xdr:cNvSpPr/>
          </xdr:nvSpPr>
          <xdr:spPr>
            <a:xfrm>
              <a:off x="3002641" y="10001250"/>
              <a:ext cx="861785" cy="857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3" name="opp_card_bcg#sprite" descr="objects[obj_name].x=$x;&#10;objects[obj_name].y=$y;&#10;objects[obj_name].base_tint=objects[obj_name].tint;#" title="opp_card_bcg#sprite">
              <a:extLst>
                <a:ext uri="{FF2B5EF4-FFF2-40B4-BE49-F238E27FC236}">
                  <a16:creationId xmlns:a16="http://schemas.microsoft.com/office/drawing/2014/main" id="{A4315866-6703-4DF8-B7DC-DE2C3B9E65CC}"/>
                </a:ext>
              </a:extLst>
            </xdr:cNvPr>
            <xdr:cNvSpPr/>
          </xdr:nvSpPr>
          <xdr:spPr>
            <a:xfrm>
              <a:off x="2657929" y="9810751"/>
              <a:ext cx="2326821" cy="123824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7" name="opp_card_name#block" descr="objects[obj_name]=new PIXI.BitmapText('', {font: '23px Century Gothic',align: 'center'});&#10;objects[obj_name].anchor.set(0.5,0);&#10;objects[obj_name].x=$x;&#10;objects[obj_name].y=$y;&#10;objects[obj_name].base_tint=objects[obj_name].tint=$col;#" title="opp_card_name#block">
            <a:extLst>
              <a:ext uri="{FF2B5EF4-FFF2-40B4-BE49-F238E27FC236}">
                <a16:creationId xmlns:a16="http://schemas.microsoft.com/office/drawing/2014/main" id="{0544160E-A51A-4D50-8958-E6EFAA287CA1}"/>
              </a:ext>
            </a:extLst>
          </xdr:cNvPr>
          <xdr:cNvSpPr/>
        </xdr:nvSpPr>
        <xdr:spPr>
          <a:xfrm>
            <a:off x="7620001" y="5334000"/>
            <a:ext cx="952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8" name="opp_card_rating#block" descr="objects[obj_name]=new PIXI.BitmapText('', {font: '25px Century Gothic',align: 'center'});&#10;objects[obj_name].anchor.set(0.5,0);&#10;objects[obj_name].x=$x;&#10;objects[obj_name].y=$y;&#10;objects[obj_name].base_tint=objects[obj_name].tint=$col;#" title="opp_card_rating#block">
            <a:extLst>
              <a:ext uri="{FF2B5EF4-FFF2-40B4-BE49-F238E27FC236}">
                <a16:creationId xmlns:a16="http://schemas.microsoft.com/office/drawing/2014/main" id="{797EA2B5-D8EF-4F7E-9F32-BCE39B831C21}"/>
              </a:ext>
            </a:extLst>
          </xdr:cNvPr>
          <xdr:cNvSpPr/>
        </xdr:nvSpPr>
        <xdr:spPr>
          <a:xfrm>
            <a:off x="7620001" y="5619750"/>
            <a:ext cx="952499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" name="opp_card_avatar#block" descr="objects[obj_name]=new PIXI.Sprite();&#10;objects[obj_name].sx=objects[obj_name].x=$x;&#10;objects[obj_name].sy=objects[obj_name].y=$y;&#10;objects[obj_name].width=$w;&#10;objects[obj_name].height=$h;&#10;#&#10;&#10;" title="opp_card_avatar#block">
            <a:extLst>
              <a:ext uri="{FF2B5EF4-FFF2-40B4-BE49-F238E27FC236}">
                <a16:creationId xmlns:a16="http://schemas.microsoft.com/office/drawing/2014/main" id="{04D78A92-B58E-4221-861C-30E62DCC9DBC}"/>
              </a:ext>
            </a:extLst>
          </xdr:cNvPr>
          <xdr:cNvSpPr/>
        </xdr:nvSpPr>
        <xdr:spPr>
          <a:xfrm>
            <a:off x="6572250" y="5334000"/>
            <a:ext cx="952501" cy="857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0" name="opp_card_cont#cont" descr="objects[obj_name]=new PIXI.Container();&#10;objects[obj_name].visible=false;&#10;objects[obj_name].sx=objects[obj_name].x=600;&#10;objects[obj_name].sy=objects[obj_name].y=0;&#10;&#10;#objects[obj_name].addChild(objects.opp_card_bcg);&#10;objects[obj_name].addChild(objects.opp_card_name);&#10;objects[obj_name].addChild(objects.opp_card_rating);&#10;objects[obj_name].addChild(objects.opp_card_avatar);&#10;app.stage.addChild(objects[obj_name]);" title="opp_card_cont#cont">
            <a:extLst>
              <a:ext uri="{FF2B5EF4-FFF2-40B4-BE49-F238E27FC236}">
                <a16:creationId xmlns:a16="http://schemas.microsoft.com/office/drawing/2014/main" id="{362067E2-FB01-499B-AF46-5D28F2A8A054}"/>
              </a:ext>
            </a:extLst>
          </xdr:cNvPr>
          <xdr:cNvSpPr/>
        </xdr:nvSpPr>
        <xdr:spPr>
          <a:xfrm>
            <a:off x="6096000" y="5048250"/>
            <a:ext cx="2762250" cy="1428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40</xdr:col>
      <xdr:colOff>0</xdr:colOff>
      <xdr:row>75</xdr:row>
      <xdr:rowOff>0</xdr:rowOff>
    </xdr:from>
    <xdr:to>
      <xdr:col>57</xdr:col>
      <xdr:colOff>0</xdr:colOff>
      <xdr:row>82</xdr:row>
      <xdr:rowOff>0</xdr:rowOff>
    </xdr:to>
    <xdr:grpSp>
      <xdr:nvGrpSpPr>
        <xdr:cNvPr id="15" name="send_sticker_button#sprite" title="send_sticker_button#sprite">
          <a:extLst>
            <a:ext uri="{FF2B5EF4-FFF2-40B4-BE49-F238E27FC236}">
              <a16:creationId xmlns:a16="http://schemas.microsoft.com/office/drawing/2014/main" id="{3A32F6BF-FBB7-4E1D-B14C-F0B0B5173923}"/>
            </a:ext>
          </a:extLst>
        </xdr:cNvPr>
        <xdr:cNvGrpSpPr/>
      </xdr:nvGrpSpPr>
      <xdr:grpSpPr>
        <a:xfrm>
          <a:off x="3810000" y="7143750"/>
          <a:ext cx="1619250" cy="666750"/>
          <a:chOff x="8286750" y="8382000"/>
          <a:chExt cx="1619250" cy="666750"/>
        </a:xfrm>
      </xdr:grpSpPr>
      <xdr:sp macro="" textlink="">
        <xdr:nvSpPr>
          <xdr:cNvPr id="23" name="Прямоугольник 22">
            <a:extLst>
              <a:ext uri="{FF2B5EF4-FFF2-40B4-BE49-F238E27FC236}">
                <a16:creationId xmlns:a16="http://schemas.microsoft.com/office/drawing/2014/main" id="{3972A34F-EABC-4AF5-A574-E8701418AAC2}"/>
              </a:ext>
            </a:extLst>
          </xdr:cNvPr>
          <xdr:cNvSpPr/>
        </xdr:nvSpPr>
        <xdr:spPr>
          <a:xfrm>
            <a:off x="8382000" y="8477250"/>
            <a:ext cx="1428750" cy="476250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Стикеры</a:t>
            </a:r>
          </a:p>
        </xdr:txBody>
      </xdr:sp>
      <xdr:sp macro="" textlink="">
        <xdr:nvSpPr>
          <xdr:cNvPr id="24" name="send_sticker_button#sprite" descr="objects[obj_name].buttonMode=true;&#10;objects[obj_name].interactive=true;&#10;objects[obj_name].x=$x;&#10;objects[obj_name].y=$y;&#10;objects[obj_name].base_tint=objects[obj_name].tint;&#10;app.stage.addChild(objects[obj_name]);&#10;#objects[obj_name].pointerdown=function(){stickers.show_panel()};&#10;objects[obj_name].pointerover=function(){this.tint=0x66ffff};&#10;objects[obj_name].pointerout=function(){this.tint=this.base_tint};" title="send_sticker_button#sprite">
            <a:extLst>
              <a:ext uri="{FF2B5EF4-FFF2-40B4-BE49-F238E27FC236}">
                <a16:creationId xmlns:a16="http://schemas.microsoft.com/office/drawing/2014/main" id="{5A82325C-D574-48BB-AECD-0CD91E80BF58}"/>
              </a:ext>
            </a:extLst>
          </xdr:cNvPr>
          <xdr:cNvSpPr/>
        </xdr:nvSpPr>
        <xdr:spPr>
          <a:xfrm>
            <a:off x="8286750" y="8382000"/>
            <a:ext cx="1619250" cy="666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26</xdr:col>
      <xdr:colOff>0</xdr:colOff>
      <xdr:row>75</xdr:row>
      <xdr:rowOff>0</xdr:rowOff>
    </xdr:from>
    <xdr:to>
      <xdr:col>43</xdr:col>
      <xdr:colOff>0</xdr:colOff>
      <xdr:row>82</xdr:row>
      <xdr:rowOff>0</xdr:rowOff>
    </xdr:to>
    <xdr:grpSp>
      <xdr:nvGrpSpPr>
        <xdr:cNvPr id="16" name="giveup_button#sprite" title="giveup_button#sprite">
          <a:extLst>
            <a:ext uri="{FF2B5EF4-FFF2-40B4-BE49-F238E27FC236}">
              <a16:creationId xmlns:a16="http://schemas.microsoft.com/office/drawing/2014/main" id="{FB3D01A9-6236-44B7-A6A1-E62132B0772C}"/>
            </a:ext>
          </a:extLst>
        </xdr:cNvPr>
        <xdr:cNvGrpSpPr/>
      </xdr:nvGrpSpPr>
      <xdr:grpSpPr>
        <a:xfrm>
          <a:off x="2476500" y="7143750"/>
          <a:ext cx="1619250" cy="666750"/>
          <a:chOff x="6286500" y="8572500"/>
          <a:chExt cx="1619250" cy="666750"/>
        </a:xfrm>
      </xdr:grpSpPr>
      <xdr:sp macro="" textlink="">
        <xdr:nvSpPr>
          <xdr:cNvPr id="21" name="Прямоугольник 20">
            <a:extLst>
              <a:ext uri="{FF2B5EF4-FFF2-40B4-BE49-F238E27FC236}">
                <a16:creationId xmlns:a16="http://schemas.microsoft.com/office/drawing/2014/main" id="{B5FFB097-55D6-4BA5-BB2F-CDC17168118E}"/>
              </a:ext>
            </a:extLst>
          </xdr:cNvPr>
          <xdr:cNvSpPr/>
        </xdr:nvSpPr>
        <xdr:spPr>
          <a:xfrm>
            <a:off x="6381750" y="8667750"/>
            <a:ext cx="1428750" cy="476250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Сдаться</a:t>
            </a:r>
          </a:p>
        </xdr:txBody>
      </xdr:sp>
      <xdr:sp macro="" textlink="">
        <xdr:nvSpPr>
          <xdr:cNvPr id="22" name="giveup_button#sprite" descr="objects[obj_name].buttonMode=true;&#10;objects[obj_name].interactive=true;&#10;objects[obj_name].pointerdown=function(){giveup_menu.show()};&#10;objects[obj_name].x=$x;&#10;objects[obj_name].y=$y;&#10;objects[obj_name].base_tint=objects[obj_name].tint;&#10;app.stage.addChild(objects[obj_name]);#objects[obj_name].pointerover=function(){this.tint=0x66ffff};&#10;objects[obj_name].pointerout=function(){this.tint=this.base_tint};" title="giveup_button#sprite">
            <a:extLst>
              <a:ext uri="{FF2B5EF4-FFF2-40B4-BE49-F238E27FC236}">
                <a16:creationId xmlns:a16="http://schemas.microsoft.com/office/drawing/2014/main" id="{5DE4B891-79A6-4639-9E70-22F582CD18C4}"/>
              </a:ext>
            </a:extLst>
          </xdr:cNvPr>
          <xdr:cNvSpPr/>
        </xdr:nvSpPr>
        <xdr:spPr>
          <a:xfrm>
            <a:off x="6286500" y="8572500"/>
            <a:ext cx="1619250" cy="666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12</xdr:col>
      <xdr:colOff>0</xdr:colOff>
      <xdr:row>75</xdr:row>
      <xdr:rowOff>0</xdr:rowOff>
    </xdr:from>
    <xdr:to>
      <xdr:col>29</xdr:col>
      <xdr:colOff>0</xdr:colOff>
      <xdr:row>82</xdr:row>
      <xdr:rowOff>0</xdr:rowOff>
    </xdr:to>
    <xdr:grpSp>
      <xdr:nvGrpSpPr>
        <xdr:cNvPr id="18" name="draw_button#sprite" title="draw_button#sprite">
          <a:extLst>
            <a:ext uri="{FF2B5EF4-FFF2-40B4-BE49-F238E27FC236}">
              <a16:creationId xmlns:a16="http://schemas.microsoft.com/office/drawing/2014/main" id="{997AEDDE-296C-42FD-B501-3213CF07F11B}"/>
            </a:ext>
          </a:extLst>
        </xdr:cNvPr>
        <xdr:cNvGrpSpPr/>
      </xdr:nvGrpSpPr>
      <xdr:grpSpPr>
        <a:xfrm>
          <a:off x="1143000" y="7143750"/>
          <a:ext cx="1619250" cy="666750"/>
          <a:chOff x="8286750" y="8382000"/>
          <a:chExt cx="1619250" cy="666750"/>
        </a:xfrm>
      </xdr:grpSpPr>
      <xdr:sp macro="" textlink="">
        <xdr:nvSpPr>
          <xdr:cNvPr id="19" name="Прямоугольник 18">
            <a:extLst>
              <a:ext uri="{FF2B5EF4-FFF2-40B4-BE49-F238E27FC236}">
                <a16:creationId xmlns:a16="http://schemas.microsoft.com/office/drawing/2014/main" id="{A87BE0F0-7669-4D4A-909D-6AAC0A8F9BDD}"/>
              </a:ext>
            </a:extLst>
          </xdr:cNvPr>
          <xdr:cNvSpPr/>
        </xdr:nvSpPr>
        <xdr:spPr>
          <a:xfrm>
            <a:off x="8382000" y="8477250"/>
            <a:ext cx="1428750" cy="476250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Ничья</a:t>
            </a:r>
          </a:p>
        </xdr:txBody>
      </xdr:sp>
      <xdr:sp macro="" textlink="">
        <xdr:nvSpPr>
          <xdr:cNvPr id="20" name="draw_button#sprite" descr="objects[obj_name].buttonMode=true;&#10;objects[obj_name].interactive=true;&#10;objects[obj_name].x=$x;&#10;objects[obj_name].y=$y;&#10;objects[obj_name].base_tint=objects[obj_name].tint;&#10;app.stage.addChild(objects[obj_name]);&#10;#objects[obj_name].pointerdown=function(){draw_dialog.show()};&#10;objects[obj_name].pointerover=function(){this.tint=0x66ffff};&#10;objects[obj_name].pointerout=function(){this.tint=this.base_tint};" title="draw_button#sprite">
            <a:extLst>
              <a:ext uri="{FF2B5EF4-FFF2-40B4-BE49-F238E27FC236}">
                <a16:creationId xmlns:a16="http://schemas.microsoft.com/office/drawing/2014/main" id="{14FA5566-FC55-42C9-BC5D-1C4102CA19A4}"/>
              </a:ext>
            </a:extLst>
          </xdr:cNvPr>
          <xdr:cNvSpPr/>
        </xdr:nvSpPr>
        <xdr:spPr>
          <a:xfrm>
            <a:off x="8286750" y="8382000"/>
            <a:ext cx="1619250" cy="666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 editAs="oneCell">
    <xdr:from>
      <xdr:col>34</xdr:col>
      <xdr:colOff>40425</xdr:colOff>
      <xdr:row>70</xdr:row>
      <xdr:rowOff>0</xdr:rowOff>
    </xdr:from>
    <xdr:to>
      <xdr:col>39</xdr:col>
      <xdr:colOff>0</xdr:colOff>
      <xdr:row>74</xdr:row>
      <xdr:rowOff>54825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CE122160-4A79-420C-AD91-B9CB35449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8925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70</xdr:row>
      <xdr:rowOff>0</xdr:rowOff>
    </xdr:from>
    <xdr:to>
      <xdr:col>35</xdr:col>
      <xdr:colOff>54825</xdr:colOff>
      <xdr:row>74</xdr:row>
      <xdr:rowOff>54825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CC4701C6-9B15-4D5E-B476-8A8D7ECB3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0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70</xdr:row>
      <xdr:rowOff>0</xdr:rowOff>
    </xdr:from>
    <xdr:to>
      <xdr:col>28</xdr:col>
      <xdr:colOff>54825</xdr:colOff>
      <xdr:row>74</xdr:row>
      <xdr:rowOff>54825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7B4AC5BC-6FBE-4597-9193-252F0318D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70</xdr:row>
      <xdr:rowOff>0</xdr:rowOff>
    </xdr:from>
    <xdr:to>
      <xdr:col>42</xdr:col>
      <xdr:colOff>54825</xdr:colOff>
      <xdr:row>74</xdr:row>
      <xdr:rowOff>54825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E5A6CB15-9911-4B83-A0D9-E898B914E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27</xdr:col>
      <xdr:colOff>40425</xdr:colOff>
      <xdr:row>70</xdr:row>
      <xdr:rowOff>0</xdr:rowOff>
    </xdr:from>
    <xdr:to>
      <xdr:col>32</xdr:col>
      <xdr:colOff>0</xdr:colOff>
      <xdr:row>74</xdr:row>
      <xdr:rowOff>54825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544C8366-6F21-4C52-9800-04ABC8EF5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2175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47</xdr:col>
      <xdr:colOff>69000</xdr:colOff>
      <xdr:row>9</xdr:row>
      <xdr:rowOff>28575</xdr:rowOff>
    </xdr:from>
    <xdr:to>
      <xdr:col>52</xdr:col>
      <xdr:colOff>28575</xdr:colOff>
      <xdr:row>13</xdr:row>
      <xdr:rowOff>83400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BD15914A-1CD2-4E67-9317-228F33A94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5750" y="885825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44</xdr:col>
      <xdr:colOff>28575</xdr:colOff>
      <xdr:row>9</xdr:row>
      <xdr:rowOff>28575</xdr:rowOff>
    </xdr:from>
    <xdr:to>
      <xdr:col>48</xdr:col>
      <xdr:colOff>83400</xdr:colOff>
      <xdr:row>13</xdr:row>
      <xdr:rowOff>83400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F7DD866-55E2-44BD-B19F-C94384842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885825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37</xdr:col>
      <xdr:colOff>28575</xdr:colOff>
      <xdr:row>9</xdr:row>
      <xdr:rowOff>28575</xdr:rowOff>
    </xdr:from>
    <xdr:to>
      <xdr:col>41</xdr:col>
      <xdr:colOff>83400</xdr:colOff>
      <xdr:row>13</xdr:row>
      <xdr:rowOff>83400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5A7D2383-88F2-44CE-8D3D-D6467F469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885825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51</xdr:col>
      <xdr:colOff>28575</xdr:colOff>
      <xdr:row>9</xdr:row>
      <xdr:rowOff>28575</xdr:rowOff>
    </xdr:from>
    <xdr:to>
      <xdr:col>55</xdr:col>
      <xdr:colOff>83400</xdr:colOff>
      <xdr:row>13</xdr:row>
      <xdr:rowOff>83400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137BD9B7-2B1A-490C-932E-AB7D7DED0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325" y="885825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40</xdr:col>
      <xdr:colOff>69000</xdr:colOff>
      <xdr:row>9</xdr:row>
      <xdr:rowOff>28575</xdr:rowOff>
    </xdr:from>
    <xdr:to>
      <xdr:col>45</xdr:col>
      <xdr:colOff>28575</xdr:colOff>
      <xdr:row>13</xdr:row>
      <xdr:rowOff>83400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4B5CCC54-44D7-405A-B81C-B5E697699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9000" y="885825"/>
          <a:ext cx="435825" cy="435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E5:FI294"/>
  <sheetViews>
    <sheetView tabSelected="1" zoomScaleNormal="100" workbookViewId="0">
      <selection activeCell="CU29" sqref="CU29"/>
    </sheetView>
  </sheetViews>
  <sheetFormatPr defaultColWidth="1.42578125" defaultRowHeight="7.5" customHeight="1" x14ac:dyDescent="0.25"/>
  <sheetData>
    <row r="5" spans="5:148" ht="7.5" customHeight="1" x14ac:dyDescent="0.25">
      <c r="E5" s="11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3"/>
    </row>
    <row r="6" spans="5:148" ht="7.5" customHeight="1" x14ac:dyDescent="0.25">
      <c r="E6" s="14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3"/>
    </row>
    <row r="7" spans="5:148" ht="7.5" customHeight="1" x14ac:dyDescent="0.25">
      <c r="E7" s="14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3"/>
    </row>
    <row r="8" spans="5:148" ht="7.5" customHeight="1" x14ac:dyDescent="0.25">
      <c r="E8" s="14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3"/>
    </row>
    <row r="9" spans="5:148" ht="7.5" customHeight="1" x14ac:dyDescent="0.25">
      <c r="E9" s="14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3"/>
    </row>
    <row r="10" spans="5:148" ht="7.5" customHeight="1" x14ac:dyDescent="0.25">
      <c r="E10" s="14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3"/>
    </row>
    <row r="11" spans="5:148" ht="7.5" customHeight="1" x14ac:dyDescent="0.25">
      <c r="E11" s="14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3"/>
    </row>
    <row r="12" spans="5:148" ht="7.5" customHeight="1" x14ac:dyDescent="0.25">
      <c r="E12" s="14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3"/>
    </row>
    <row r="13" spans="5:148" ht="7.5" customHeight="1" x14ac:dyDescent="0.25">
      <c r="E13" s="14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3"/>
    </row>
    <row r="14" spans="5:148" ht="7.5" customHeight="1" x14ac:dyDescent="0.25">
      <c r="E14" s="14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3"/>
    </row>
    <row r="15" spans="5:148" ht="7.5" customHeight="1" x14ac:dyDescent="0.25">
      <c r="E15" s="14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3"/>
      <c r="ER15" s="7"/>
    </row>
    <row r="16" spans="5:148" ht="7.5" customHeight="1" x14ac:dyDescent="0.25">
      <c r="E16" s="14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3"/>
    </row>
    <row r="17" spans="5:84" ht="7.5" customHeight="1" x14ac:dyDescent="0.25">
      <c r="E17" s="14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3"/>
    </row>
    <row r="18" spans="5:84" ht="7.5" customHeight="1" x14ac:dyDescent="0.25">
      <c r="E18" s="14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3"/>
    </row>
    <row r="19" spans="5:84" ht="7.5" customHeight="1" x14ac:dyDescent="0.25">
      <c r="E19" s="14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3"/>
    </row>
    <row r="20" spans="5:84" ht="7.5" customHeight="1" x14ac:dyDescent="0.25">
      <c r="E20" s="14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3"/>
    </row>
    <row r="21" spans="5:84" ht="7.5" customHeight="1" x14ac:dyDescent="0.25">
      <c r="E21" s="14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3"/>
    </row>
    <row r="22" spans="5:84" ht="7.5" customHeight="1" x14ac:dyDescent="0.25">
      <c r="E22" s="14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3"/>
    </row>
    <row r="23" spans="5:84" ht="7.5" customHeight="1" x14ac:dyDescent="0.25">
      <c r="E23" s="14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3"/>
    </row>
    <row r="24" spans="5:84" ht="7.5" customHeight="1" x14ac:dyDescent="0.25">
      <c r="E24" s="14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3"/>
    </row>
    <row r="25" spans="5:84" ht="7.5" customHeight="1" x14ac:dyDescent="0.25">
      <c r="E25" s="14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3"/>
    </row>
    <row r="26" spans="5:84" ht="7.5" customHeight="1" x14ac:dyDescent="0.25">
      <c r="E26" s="14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3"/>
    </row>
    <row r="27" spans="5:84" ht="7.5" customHeight="1" x14ac:dyDescent="0.25">
      <c r="E27" s="14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3"/>
    </row>
    <row r="28" spans="5:84" ht="7.5" customHeight="1" x14ac:dyDescent="0.25">
      <c r="E28" s="14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3"/>
    </row>
    <row r="29" spans="5:84" ht="7.5" customHeight="1" x14ac:dyDescent="0.25">
      <c r="E29" s="14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3"/>
    </row>
    <row r="30" spans="5:84" ht="7.5" customHeight="1" x14ac:dyDescent="0.25">
      <c r="E30" s="14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3"/>
    </row>
    <row r="31" spans="5:84" ht="7.5" customHeight="1" x14ac:dyDescent="0.25">
      <c r="E31" s="14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3"/>
    </row>
    <row r="32" spans="5:84" ht="7.5" customHeight="1" x14ac:dyDescent="0.25">
      <c r="E32" s="14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3"/>
    </row>
    <row r="33" spans="5:84" ht="7.5" customHeight="1" x14ac:dyDescent="0.25">
      <c r="E33" s="14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3"/>
    </row>
    <row r="34" spans="5:84" ht="7.5" customHeight="1" x14ac:dyDescent="0.25">
      <c r="E34" s="14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3"/>
    </row>
    <row r="35" spans="5:84" ht="7.5" customHeight="1" x14ac:dyDescent="0.25"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3"/>
    </row>
    <row r="36" spans="5:84" ht="7.5" customHeight="1" x14ac:dyDescent="0.25">
      <c r="E36" s="14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3"/>
    </row>
    <row r="37" spans="5:84" ht="7.5" customHeight="1" x14ac:dyDescent="0.25">
      <c r="E37" s="14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3"/>
    </row>
    <row r="38" spans="5:84" ht="7.5" customHeight="1" x14ac:dyDescent="0.25">
      <c r="E38" s="14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3"/>
    </row>
    <row r="39" spans="5:84" ht="7.5" customHeight="1" x14ac:dyDescent="0.25">
      <c r="E39" s="14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3"/>
    </row>
    <row r="40" spans="5:84" ht="7.5" customHeight="1" x14ac:dyDescent="0.25">
      <c r="E40" s="14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3"/>
    </row>
    <row r="41" spans="5:84" ht="7.5" customHeight="1" x14ac:dyDescent="0.25">
      <c r="E41" s="14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3"/>
    </row>
    <row r="42" spans="5:84" ht="7.5" customHeight="1" x14ac:dyDescent="0.25">
      <c r="E42" s="14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3"/>
    </row>
    <row r="43" spans="5:84" ht="7.5" customHeight="1" x14ac:dyDescent="0.25">
      <c r="E43" s="14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3"/>
    </row>
    <row r="44" spans="5:84" ht="7.5" customHeight="1" x14ac:dyDescent="0.25">
      <c r="E44" s="14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3"/>
    </row>
    <row r="45" spans="5:84" ht="7.5" customHeight="1" x14ac:dyDescent="0.25">
      <c r="E45" s="14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3"/>
    </row>
    <row r="46" spans="5:84" ht="7.5" customHeight="1" x14ac:dyDescent="0.25">
      <c r="E46" s="14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3"/>
    </row>
    <row r="47" spans="5:84" ht="7.5" customHeight="1" x14ac:dyDescent="0.25">
      <c r="E47" s="14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3"/>
    </row>
    <row r="48" spans="5:84" ht="7.5" customHeight="1" x14ac:dyDescent="0.25">
      <c r="E48" s="14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3"/>
    </row>
    <row r="49" spans="5:136" ht="7.5" customHeight="1" x14ac:dyDescent="0.25">
      <c r="E49" s="16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8"/>
    </row>
    <row r="51" spans="5:136" ht="7.5" customHeight="1" x14ac:dyDescent="0.25">
      <c r="AR51" s="3"/>
    </row>
    <row r="52" spans="5:136" ht="7.5" customHeight="1" x14ac:dyDescent="0.25">
      <c r="AR52" s="3"/>
    </row>
    <row r="54" spans="5:136" ht="7.5" customHeight="1" x14ac:dyDescent="0.25">
      <c r="E54" s="19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1"/>
    </row>
    <row r="55" spans="5:136" ht="7.5" customHeight="1" x14ac:dyDescent="0.25">
      <c r="E55" s="22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4"/>
    </row>
    <row r="56" spans="5:136" ht="7.5" customHeight="1" x14ac:dyDescent="0.25">
      <c r="E56" s="22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4"/>
    </row>
    <row r="57" spans="5:136" ht="7.5" customHeight="1" x14ac:dyDescent="0.25">
      <c r="E57" s="22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4"/>
    </row>
    <row r="58" spans="5:136" ht="7.5" customHeight="1" x14ac:dyDescent="0.25">
      <c r="E58" s="22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4"/>
    </row>
    <row r="59" spans="5:136" ht="7.5" customHeight="1" x14ac:dyDescent="0.25">
      <c r="E59" s="22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4"/>
    </row>
    <row r="60" spans="5:136" ht="7.5" customHeight="1" x14ac:dyDescent="0.25">
      <c r="E60" s="22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4"/>
      <c r="EF60" t="s">
        <v>0</v>
      </c>
    </row>
    <row r="61" spans="5:136" ht="7.5" customHeight="1" x14ac:dyDescent="0.25">
      <c r="E61" s="22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4"/>
    </row>
    <row r="62" spans="5:136" ht="7.5" customHeight="1" x14ac:dyDescent="0.25">
      <c r="E62" s="22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4"/>
    </row>
    <row r="63" spans="5:136" ht="7.5" customHeight="1" x14ac:dyDescent="0.25">
      <c r="E63" s="22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4"/>
    </row>
    <row r="64" spans="5:136" ht="7.5" customHeight="1" x14ac:dyDescent="0.25">
      <c r="E64" s="22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4"/>
    </row>
    <row r="65" spans="5:84" ht="7.5" customHeight="1" x14ac:dyDescent="0.25">
      <c r="E65" s="22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4"/>
    </row>
    <row r="66" spans="5:84" ht="7.5" customHeight="1" x14ac:dyDescent="0.25">
      <c r="E66" s="22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4"/>
    </row>
    <row r="67" spans="5:84" ht="7.5" customHeight="1" x14ac:dyDescent="0.25">
      <c r="E67" s="22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4"/>
    </row>
    <row r="68" spans="5:84" ht="7.5" customHeight="1" x14ac:dyDescent="0.25">
      <c r="E68" s="22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4"/>
    </row>
    <row r="69" spans="5:84" ht="7.5" customHeight="1" x14ac:dyDescent="0.25">
      <c r="E69" s="22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4"/>
    </row>
    <row r="70" spans="5:84" ht="7.5" customHeight="1" x14ac:dyDescent="0.25">
      <c r="E70" s="22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4"/>
    </row>
    <row r="71" spans="5:84" ht="7.5" customHeight="1" x14ac:dyDescent="0.25">
      <c r="E71" s="22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4"/>
    </row>
    <row r="72" spans="5:84" ht="7.5" customHeight="1" x14ac:dyDescent="0.25">
      <c r="E72" s="22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4"/>
    </row>
    <row r="73" spans="5:84" ht="7.5" customHeight="1" x14ac:dyDescent="0.25">
      <c r="E73" s="22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4"/>
    </row>
    <row r="74" spans="5:84" ht="7.5" customHeight="1" x14ac:dyDescent="0.25">
      <c r="E74" s="22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4"/>
    </row>
    <row r="75" spans="5:84" ht="7.5" customHeight="1" x14ac:dyDescent="0.25">
      <c r="E75" s="22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4"/>
    </row>
    <row r="76" spans="5:84" ht="7.5" customHeight="1" x14ac:dyDescent="0.25">
      <c r="E76" s="22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4"/>
    </row>
    <row r="77" spans="5:84" ht="7.5" customHeight="1" x14ac:dyDescent="0.25">
      <c r="E77" s="22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4"/>
    </row>
    <row r="78" spans="5:84" ht="7.5" customHeight="1" x14ac:dyDescent="0.25">
      <c r="E78" s="22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4"/>
    </row>
    <row r="79" spans="5:84" ht="7.5" customHeight="1" x14ac:dyDescent="0.25">
      <c r="E79" s="22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4"/>
    </row>
    <row r="80" spans="5:84" ht="7.5" customHeight="1" x14ac:dyDescent="0.25">
      <c r="E80" s="22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4"/>
    </row>
    <row r="81" spans="5:84" ht="7.5" customHeight="1" x14ac:dyDescent="0.25">
      <c r="E81" s="22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4"/>
    </row>
    <row r="82" spans="5:84" ht="7.5" customHeight="1" x14ac:dyDescent="0.25">
      <c r="E82" s="22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4"/>
    </row>
    <row r="83" spans="5:84" ht="7.5" customHeight="1" x14ac:dyDescent="0.25">
      <c r="E83" s="22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4"/>
    </row>
    <row r="84" spans="5:84" ht="7.5" customHeight="1" x14ac:dyDescent="0.25">
      <c r="E84" s="22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4"/>
    </row>
    <row r="85" spans="5:84" ht="7.5" customHeight="1" x14ac:dyDescent="0.25">
      <c r="E85" s="22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4"/>
    </row>
    <row r="86" spans="5:84" ht="7.5" customHeight="1" x14ac:dyDescent="0.25">
      <c r="E86" s="22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4"/>
    </row>
    <row r="87" spans="5:84" ht="7.5" customHeight="1" x14ac:dyDescent="0.25">
      <c r="E87" s="22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4"/>
    </row>
    <row r="88" spans="5:84" ht="7.5" customHeight="1" x14ac:dyDescent="0.25">
      <c r="E88" s="22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4"/>
    </row>
    <row r="89" spans="5:84" ht="7.5" customHeight="1" x14ac:dyDescent="0.25">
      <c r="E89" s="22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4"/>
    </row>
    <row r="90" spans="5:84" ht="7.5" customHeight="1" x14ac:dyDescent="0.25">
      <c r="E90" s="22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4"/>
    </row>
    <row r="91" spans="5:84" ht="7.5" customHeight="1" x14ac:dyDescent="0.25">
      <c r="E91" s="22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4"/>
    </row>
    <row r="92" spans="5:84" ht="7.5" customHeight="1" x14ac:dyDescent="0.25">
      <c r="E92" s="22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4"/>
    </row>
    <row r="93" spans="5:84" ht="7.5" customHeight="1" x14ac:dyDescent="0.25">
      <c r="E93" s="22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4"/>
    </row>
    <row r="94" spans="5:84" ht="7.5" customHeight="1" x14ac:dyDescent="0.25">
      <c r="E94" s="22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4"/>
    </row>
    <row r="95" spans="5:84" ht="7.5" customHeight="1" x14ac:dyDescent="0.25">
      <c r="E95" s="22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4"/>
    </row>
    <row r="96" spans="5:84" ht="7.5" customHeight="1" x14ac:dyDescent="0.25">
      <c r="E96" s="22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4"/>
    </row>
    <row r="97" spans="5:84" ht="7.5" customHeight="1" x14ac:dyDescent="0.25">
      <c r="E97" s="22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4"/>
    </row>
    <row r="98" spans="5:84" ht="7.5" customHeight="1" x14ac:dyDescent="0.25">
      <c r="E98" s="25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7"/>
    </row>
    <row r="100" spans="5:84" ht="7.5" customHeight="1" x14ac:dyDescent="0.25">
      <c r="AR100" s="3"/>
    </row>
    <row r="148" spans="89:165" ht="7.5" customHeight="1" x14ac:dyDescent="0.25"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</row>
    <row r="149" spans="89:165" ht="7.5" customHeight="1" x14ac:dyDescent="0.25"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</row>
    <row r="150" spans="89:165" ht="7.5" customHeight="1" x14ac:dyDescent="0.25"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</row>
    <row r="151" spans="89:165" ht="7.5" customHeight="1" x14ac:dyDescent="0.25"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</row>
    <row r="152" spans="89:165" ht="7.5" customHeight="1" x14ac:dyDescent="0.25"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</row>
    <row r="153" spans="89:165" ht="7.5" customHeight="1" x14ac:dyDescent="0.25"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</row>
    <row r="154" spans="89:165" ht="7.5" customHeight="1" x14ac:dyDescent="0.25"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</row>
    <row r="155" spans="89:165" ht="7.5" customHeight="1" x14ac:dyDescent="0.25"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</row>
    <row r="156" spans="89:165" ht="7.5" customHeight="1" x14ac:dyDescent="0.25"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</row>
    <row r="157" spans="89:165" ht="7.5" customHeight="1" x14ac:dyDescent="0.25"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</row>
    <row r="158" spans="89:165" ht="7.5" customHeight="1" x14ac:dyDescent="0.25"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</row>
    <row r="159" spans="89:165" ht="7.5" customHeight="1" x14ac:dyDescent="0.25"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  <c r="EU159" s="9"/>
      <c r="EV159" s="9"/>
      <c r="EW159" s="9"/>
      <c r="EX159" s="9"/>
      <c r="EY159" s="9"/>
      <c r="EZ159" s="9"/>
      <c r="FA159" s="9"/>
      <c r="FB159" s="9"/>
      <c r="FC159" s="9"/>
      <c r="FD159" s="9"/>
      <c r="FE159" s="9"/>
      <c r="FF159" s="9"/>
      <c r="FG159" s="9"/>
      <c r="FH159" s="9"/>
      <c r="FI159" s="9"/>
    </row>
    <row r="160" spans="89:165" ht="7.5" customHeight="1" x14ac:dyDescent="0.25"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</row>
    <row r="161" spans="89:165" ht="7.5" customHeight="1" x14ac:dyDescent="0.25"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</row>
    <row r="162" spans="89:165" ht="7.5" customHeight="1" x14ac:dyDescent="0.25"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I162" s="9"/>
    </row>
    <row r="163" spans="89:165" ht="7.5" customHeight="1" x14ac:dyDescent="0.25"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I163" s="9"/>
    </row>
    <row r="164" spans="89:165" ht="7.5" customHeight="1" x14ac:dyDescent="0.25"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I164" s="9"/>
    </row>
    <row r="165" spans="89:165" ht="7.5" customHeight="1" x14ac:dyDescent="0.25"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</row>
    <row r="166" spans="89:165" ht="7.5" customHeight="1" x14ac:dyDescent="0.25"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I166" s="9"/>
    </row>
    <row r="167" spans="89:165" ht="7.5" customHeight="1" x14ac:dyDescent="0.25"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I167" s="9"/>
    </row>
    <row r="168" spans="89:165" ht="7.5" customHeight="1" x14ac:dyDescent="0.25"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  <c r="FI168" s="9"/>
    </row>
    <row r="169" spans="89:165" ht="7.5" customHeight="1" x14ac:dyDescent="0.25"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</row>
    <row r="170" spans="89:165" ht="7.5" customHeight="1" x14ac:dyDescent="0.25"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I170" s="9"/>
    </row>
    <row r="171" spans="89:165" ht="7.5" customHeight="1" x14ac:dyDescent="0.25"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</row>
    <row r="172" spans="89:165" ht="7.5" customHeight="1" x14ac:dyDescent="0.25"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I172" s="9"/>
    </row>
    <row r="173" spans="89:165" ht="7.5" customHeight="1" x14ac:dyDescent="0.25"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</row>
    <row r="174" spans="89:165" ht="7.5" customHeight="1" x14ac:dyDescent="0.25"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</row>
    <row r="175" spans="89:165" ht="7.5" customHeight="1" x14ac:dyDescent="0.25"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</row>
    <row r="176" spans="89:165" ht="7.5" customHeight="1" x14ac:dyDescent="0.25"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  <c r="EO176" s="9"/>
      <c r="EP176" s="9"/>
      <c r="EQ176" s="9"/>
      <c r="ER176" s="9"/>
      <c r="ES176" s="9"/>
      <c r="ET176" s="9"/>
      <c r="EU176" s="9"/>
      <c r="EV176" s="9"/>
      <c r="EW176" s="9"/>
      <c r="EX176" s="9"/>
      <c r="EY176" s="9"/>
      <c r="EZ176" s="9"/>
      <c r="FA176" s="9"/>
      <c r="FB176" s="9"/>
      <c r="FC176" s="9"/>
      <c r="FD176" s="9"/>
      <c r="FE176" s="9"/>
      <c r="FF176" s="9"/>
      <c r="FG176" s="9"/>
      <c r="FH176" s="9"/>
      <c r="FI176" s="9"/>
    </row>
    <row r="177" spans="91:165" ht="7.5" customHeight="1" x14ac:dyDescent="0.25"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M177" s="9"/>
      <c r="EN177" s="9"/>
      <c r="EO177" s="9"/>
      <c r="EP177" s="9"/>
      <c r="EQ177" s="9"/>
      <c r="ER177" s="9"/>
      <c r="ES177" s="9"/>
      <c r="ET177" s="9"/>
      <c r="EU177" s="9"/>
      <c r="EV177" s="9"/>
      <c r="EW177" s="9"/>
      <c r="EX177" s="9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</row>
    <row r="178" spans="91:165" ht="7.5" customHeight="1" x14ac:dyDescent="0.25"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</row>
    <row r="180" spans="91:165" ht="7.5" customHeight="1" x14ac:dyDescent="0.25"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  <c r="DV180" s="10"/>
      <c r="DW180" s="10"/>
      <c r="DX180" s="10"/>
      <c r="DY180" s="10"/>
      <c r="DZ180" s="10"/>
      <c r="EA180" s="10"/>
      <c r="EB180" s="10"/>
      <c r="EC180" s="10"/>
    </row>
    <row r="181" spans="91:165" ht="7.5" customHeight="1" x14ac:dyDescent="0.25"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  <c r="DV181" s="10"/>
      <c r="DW181" s="10"/>
      <c r="DX181" s="10"/>
      <c r="DY181" s="10"/>
      <c r="DZ181" s="10"/>
      <c r="EA181" s="10"/>
      <c r="EB181" s="10"/>
      <c r="EC181" s="10"/>
    </row>
    <row r="182" spans="91:165" ht="7.5" customHeight="1" x14ac:dyDescent="0.25"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  <c r="DV182" s="10"/>
      <c r="DW182" s="10"/>
      <c r="DX182" s="10"/>
      <c r="DY182" s="10"/>
      <c r="DZ182" s="10"/>
      <c r="EA182" s="10"/>
      <c r="EB182" s="10"/>
      <c r="EC182" s="10"/>
    </row>
    <row r="183" spans="91:165" ht="7.5" customHeight="1" x14ac:dyDescent="0.25"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  <c r="DV183" s="10"/>
      <c r="DW183" s="10"/>
      <c r="DX183" s="10"/>
      <c r="DY183" s="10"/>
      <c r="DZ183" s="10"/>
      <c r="EA183" s="10"/>
      <c r="EB183" s="10"/>
      <c r="EC183" s="10"/>
    </row>
    <row r="184" spans="91:165" ht="7.5" customHeight="1" x14ac:dyDescent="0.25"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  <c r="DV184" s="10"/>
      <c r="DW184" s="10"/>
      <c r="DX184" s="10"/>
      <c r="DY184" s="10"/>
      <c r="DZ184" s="10"/>
      <c r="EA184" s="10"/>
      <c r="EB184" s="10"/>
      <c r="EC184" s="10"/>
    </row>
    <row r="185" spans="91:165" ht="7.5" customHeight="1" x14ac:dyDescent="0.25"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  <c r="DV185" s="10"/>
      <c r="DW185" s="10"/>
      <c r="DX185" s="10"/>
      <c r="DY185" s="10"/>
      <c r="DZ185" s="10"/>
      <c r="EA185" s="10"/>
      <c r="EB185" s="10"/>
      <c r="EC185" s="10"/>
    </row>
    <row r="186" spans="91:165" ht="7.5" customHeight="1" x14ac:dyDescent="0.25"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  <c r="DV186" s="10"/>
      <c r="DW186" s="10"/>
      <c r="DX186" s="10"/>
      <c r="DY186" s="10"/>
      <c r="DZ186" s="10"/>
      <c r="EA186" s="10"/>
      <c r="EB186" s="10"/>
      <c r="EC186" s="10"/>
    </row>
    <row r="187" spans="91:165" ht="7.5" customHeight="1" x14ac:dyDescent="0.25"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  <c r="DV187" s="10"/>
      <c r="DW187" s="10"/>
      <c r="DX187" s="10"/>
      <c r="DY187" s="10"/>
      <c r="DZ187" s="10"/>
      <c r="EA187" s="10"/>
      <c r="EB187" s="10"/>
      <c r="EC187" s="10"/>
    </row>
    <row r="188" spans="91:165" ht="7.5" customHeight="1" x14ac:dyDescent="0.25"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  <c r="DV188" s="10"/>
      <c r="DW188" s="10"/>
      <c r="DX188" s="10"/>
      <c r="DY188" s="10"/>
      <c r="DZ188" s="10"/>
      <c r="EA188" s="10"/>
      <c r="EB188" s="10"/>
      <c r="EC188" s="10"/>
    </row>
    <row r="189" spans="91:165" ht="7.5" customHeight="1" x14ac:dyDescent="0.25"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  <c r="DV189" s="10"/>
      <c r="DW189" s="10"/>
      <c r="DX189" s="10"/>
      <c r="DY189" s="10"/>
      <c r="DZ189" s="10"/>
      <c r="EA189" s="10"/>
      <c r="EB189" s="10"/>
      <c r="EC189" s="10"/>
    </row>
    <row r="190" spans="91:165" ht="7.5" customHeight="1" x14ac:dyDescent="0.25"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  <c r="DV190" s="10"/>
      <c r="DW190" s="10"/>
      <c r="DX190" s="10"/>
      <c r="DY190" s="10"/>
      <c r="DZ190" s="10"/>
      <c r="EA190" s="10"/>
      <c r="EB190" s="10"/>
      <c r="EC190" s="10"/>
    </row>
    <row r="191" spans="91:165" ht="7.5" customHeight="1" x14ac:dyDescent="0.25"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0"/>
      <c r="DP191" s="10"/>
      <c r="DQ191" s="10"/>
      <c r="DR191" s="10"/>
      <c r="DS191" s="10"/>
      <c r="DT191" s="10"/>
      <c r="DU191" s="10"/>
      <c r="DV191" s="10"/>
      <c r="DW191" s="10"/>
      <c r="DX191" s="10"/>
      <c r="DY191" s="10"/>
      <c r="DZ191" s="10"/>
      <c r="EA191" s="10"/>
      <c r="EB191" s="10"/>
      <c r="EC191" s="10"/>
    </row>
    <row r="200" spans="5:84" ht="7.5" customHeight="1" x14ac:dyDescent="0.25">
      <c r="AR200" s="3"/>
    </row>
    <row r="201" spans="5:84" ht="7.5" customHeight="1" x14ac:dyDescent="0.25">
      <c r="E201" s="11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3"/>
    </row>
    <row r="202" spans="5:84" ht="7.5" customHeight="1" x14ac:dyDescent="0.25">
      <c r="E202" s="14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  <c r="CA202" s="15"/>
      <c r="CB202" s="15"/>
      <c r="CC202" s="15"/>
      <c r="CD202" s="15"/>
      <c r="CE202" s="15"/>
      <c r="CF202" s="3"/>
    </row>
    <row r="203" spans="5:84" ht="7.5" customHeight="1" x14ac:dyDescent="0.25">
      <c r="E203" s="14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3"/>
    </row>
    <row r="204" spans="5:84" ht="7.5" customHeight="1" x14ac:dyDescent="0.25">
      <c r="E204" s="14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  <c r="CA204" s="15"/>
      <c r="CB204" s="15"/>
      <c r="CC204" s="15"/>
      <c r="CD204" s="15"/>
      <c r="CE204" s="15"/>
      <c r="CF204" s="3"/>
    </row>
    <row r="205" spans="5:84" ht="7.5" customHeight="1" x14ac:dyDescent="0.25">
      <c r="E205" s="14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  <c r="CA205" s="15"/>
      <c r="CB205" s="15"/>
      <c r="CC205" s="15"/>
      <c r="CD205" s="15"/>
      <c r="CE205" s="15"/>
      <c r="CF205" s="3"/>
    </row>
    <row r="206" spans="5:84" ht="7.5" customHeight="1" x14ac:dyDescent="0.25">
      <c r="E206" s="14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  <c r="CA206" s="15"/>
      <c r="CB206" s="15"/>
      <c r="CC206" s="15"/>
      <c r="CD206" s="15"/>
      <c r="CE206" s="15"/>
      <c r="CF206" s="3"/>
    </row>
    <row r="207" spans="5:84" ht="7.5" customHeight="1" x14ac:dyDescent="0.25">
      <c r="E207" s="14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  <c r="CB207" s="15"/>
      <c r="CC207" s="15"/>
      <c r="CD207" s="15"/>
      <c r="CE207" s="15"/>
      <c r="CF207" s="3"/>
    </row>
    <row r="208" spans="5:84" ht="7.5" customHeight="1" x14ac:dyDescent="0.25">
      <c r="E208" s="14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  <c r="CB208" s="15"/>
      <c r="CC208" s="15"/>
      <c r="CD208" s="15"/>
      <c r="CE208" s="15"/>
      <c r="CF208" s="3"/>
    </row>
    <row r="209" spans="5:84" ht="7.5" customHeight="1" x14ac:dyDescent="0.25">
      <c r="E209" s="14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3"/>
    </row>
    <row r="210" spans="5:84" ht="7.5" customHeight="1" x14ac:dyDescent="0.25">
      <c r="E210" s="14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3"/>
    </row>
    <row r="211" spans="5:84" ht="7.5" customHeight="1" x14ac:dyDescent="0.25">
      <c r="E211" s="14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3"/>
    </row>
    <row r="212" spans="5:84" ht="7.5" customHeight="1" x14ac:dyDescent="0.25">
      <c r="E212" s="14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  <c r="CB212" s="15"/>
      <c r="CC212" s="15"/>
      <c r="CD212" s="15"/>
      <c r="CE212" s="15"/>
      <c r="CF212" s="3"/>
    </row>
    <row r="213" spans="5:84" ht="7.5" customHeight="1" x14ac:dyDescent="0.25">
      <c r="E213" s="14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3"/>
    </row>
    <row r="214" spans="5:84" ht="7.5" customHeight="1" x14ac:dyDescent="0.25">
      <c r="E214" s="14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  <c r="CB214" s="15"/>
      <c r="CC214" s="15"/>
      <c r="CD214" s="15"/>
      <c r="CE214" s="15"/>
      <c r="CF214" s="3"/>
    </row>
    <row r="215" spans="5:84" ht="7.5" customHeight="1" x14ac:dyDescent="0.25">
      <c r="E215" s="14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  <c r="CB215" s="15"/>
      <c r="CC215" s="15"/>
      <c r="CD215" s="15"/>
      <c r="CE215" s="15"/>
      <c r="CF215" s="3"/>
    </row>
    <row r="216" spans="5:84" ht="7.5" customHeight="1" x14ac:dyDescent="0.25">
      <c r="E216" s="14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  <c r="CB216" s="15"/>
      <c r="CC216" s="15"/>
      <c r="CD216" s="15"/>
      <c r="CE216" s="15"/>
      <c r="CF216" s="3"/>
    </row>
    <row r="217" spans="5:84" ht="7.5" customHeight="1" x14ac:dyDescent="0.25">
      <c r="E217" s="14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  <c r="CB217" s="15"/>
      <c r="CC217" s="15"/>
      <c r="CD217" s="15"/>
      <c r="CE217" s="15"/>
      <c r="CF217" s="3"/>
    </row>
    <row r="218" spans="5:84" ht="7.5" customHeight="1" x14ac:dyDescent="0.25">
      <c r="E218" s="14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  <c r="CB218" s="15"/>
      <c r="CC218" s="15"/>
      <c r="CD218" s="15"/>
      <c r="CE218" s="15"/>
      <c r="CF218" s="3"/>
    </row>
    <row r="219" spans="5:84" ht="7.5" customHeight="1" x14ac:dyDescent="0.25">
      <c r="E219" s="14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  <c r="CA219" s="15"/>
      <c r="CB219" s="15"/>
      <c r="CC219" s="15"/>
      <c r="CD219" s="15"/>
      <c r="CE219" s="15"/>
      <c r="CF219" s="3"/>
    </row>
    <row r="220" spans="5:84" ht="7.5" customHeight="1" x14ac:dyDescent="0.25">
      <c r="E220" s="14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  <c r="CA220" s="15"/>
      <c r="CB220" s="15"/>
      <c r="CC220" s="15"/>
      <c r="CD220" s="15"/>
      <c r="CE220" s="15"/>
      <c r="CF220" s="3"/>
    </row>
    <row r="221" spans="5:84" ht="7.5" customHeight="1" x14ac:dyDescent="0.25">
      <c r="E221" s="14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3"/>
    </row>
    <row r="222" spans="5:84" ht="7.5" customHeight="1" x14ac:dyDescent="0.25">
      <c r="E222" s="14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  <c r="CA222" s="15"/>
      <c r="CB222" s="15"/>
      <c r="CC222" s="15"/>
      <c r="CD222" s="15"/>
      <c r="CE222" s="15"/>
      <c r="CF222" s="3"/>
    </row>
    <row r="223" spans="5:84" ht="7.5" customHeight="1" x14ac:dyDescent="0.25">
      <c r="E223" s="14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  <c r="CA223" s="15"/>
      <c r="CB223" s="15"/>
      <c r="CC223" s="15"/>
      <c r="CD223" s="15"/>
      <c r="CE223" s="15"/>
      <c r="CF223" s="3"/>
    </row>
    <row r="224" spans="5:84" ht="7.5" customHeight="1" x14ac:dyDescent="0.25">
      <c r="E224" s="14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  <c r="CA224" s="15"/>
      <c r="CB224" s="15"/>
      <c r="CC224" s="15"/>
      <c r="CD224" s="15"/>
      <c r="CE224" s="15"/>
      <c r="CF224" s="3"/>
    </row>
    <row r="225" spans="5:84" ht="7.5" customHeight="1" x14ac:dyDescent="0.25">
      <c r="E225" s="14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3"/>
    </row>
    <row r="226" spans="5:84" ht="7.5" customHeight="1" x14ac:dyDescent="0.25">
      <c r="E226" s="14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  <c r="CA226" s="15"/>
      <c r="CB226" s="15"/>
      <c r="CC226" s="15"/>
      <c r="CD226" s="15"/>
      <c r="CE226" s="15"/>
      <c r="CF226" s="3"/>
    </row>
    <row r="227" spans="5:84" ht="7.5" customHeight="1" x14ac:dyDescent="0.25">
      <c r="E227" s="14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  <c r="CA227" s="15"/>
      <c r="CB227" s="15"/>
      <c r="CC227" s="15"/>
      <c r="CD227" s="15"/>
      <c r="CE227" s="15"/>
      <c r="CF227" s="3"/>
    </row>
    <row r="228" spans="5:84" ht="7.5" customHeight="1" x14ac:dyDescent="0.25">
      <c r="E228" s="14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  <c r="CA228" s="15"/>
      <c r="CB228" s="15"/>
      <c r="CC228" s="15"/>
      <c r="CD228" s="15"/>
      <c r="CE228" s="15"/>
      <c r="CF228" s="3"/>
    </row>
    <row r="229" spans="5:84" ht="7.5" customHeight="1" x14ac:dyDescent="0.25">
      <c r="E229" s="14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  <c r="CA229" s="15"/>
      <c r="CB229" s="15"/>
      <c r="CC229" s="15"/>
      <c r="CD229" s="15"/>
      <c r="CE229" s="15"/>
      <c r="CF229" s="3"/>
    </row>
    <row r="230" spans="5:84" ht="7.5" customHeight="1" x14ac:dyDescent="0.25">
      <c r="E230" s="14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  <c r="CA230" s="15"/>
      <c r="CB230" s="15"/>
      <c r="CC230" s="15"/>
      <c r="CD230" s="15"/>
      <c r="CE230" s="15"/>
      <c r="CF230" s="3"/>
    </row>
    <row r="231" spans="5:84" ht="7.5" customHeight="1" x14ac:dyDescent="0.25">
      <c r="E231" s="14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  <c r="CA231" s="15"/>
      <c r="CB231" s="15"/>
      <c r="CC231" s="15"/>
      <c r="CD231" s="15"/>
      <c r="CE231" s="15"/>
      <c r="CF231" s="3"/>
    </row>
    <row r="232" spans="5:84" ht="7.5" customHeight="1" x14ac:dyDescent="0.25">
      <c r="E232" s="14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  <c r="CA232" s="15"/>
      <c r="CB232" s="15"/>
      <c r="CC232" s="15"/>
      <c r="CD232" s="15"/>
      <c r="CE232" s="15"/>
      <c r="CF232" s="3"/>
    </row>
    <row r="233" spans="5:84" ht="7.5" customHeight="1" x14ac:dyDescent="0.25">
      <c r="E233" s="14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  <c r="CA233" s="15"/>
      <c r="CB233" s="15"/>
      <c r="CC233" s="15"/>
      <c r="CD233" s="15"/>
      <c r="CE233" s="15"/>
      <c r="CF233" s="3"/>
    </row>
    <row r="234" spans="5:84" ht="7.5" customHeight="1" x14ac:dyDescent="0.25">
      <c r="E234" s="14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  <c r="CA234" s="15"/>
      <c r="CB234" s="15"/>
      <c r="CC234" s="15"/>
      <c r="CD234" s="15"/>
      <c r="CE234" s="15"/>
      <c r="CF234" s="3"/>
    </row>
    <row r="235" spans="5:84" ht="7.5" customHeight="1" x14ac:dyDescent="0.25">
      <c r="E235" s="14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  <c r="CA235" s="15"/>
      <c r="CB235" s="15"/>
      <c r="CC235" s="15"/>
      <c r="CD235" s="15"/>
      <c r="CE235" s="15"/>
      <c r="CF235" s="3"/>
    </row>
    <row r="236" spans="5:84" ht="7.5" customHeight="1" x14ac:dyDescent="0.25">
      <c r="E236" s="14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  <c r="CA236" s="15"/>
      <c r="CB236" s="15"/>
      <c r="CC236" s="15"/>
      <c r="CD236" s="15"/>
      <c r="CE236" s="15"/>
      <c r="CF236" s="3"/>
    </row>
    <row r="237" spans="5:84" ht="7.5" customHeight="1" x14ac:dyDescent="0.25">
      <c r="E237" s="14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  <c r="CA237" s="15"/>
      <c r="CB237" s="15"/>
      <c r="CC237" s="15"/>
      <c r="CD237" s="15"/>
      <c r="CE237" s="15"/>
      <c r="CF237" s="3"/>
    </row>
    <row r="238" spans="5:84" ht="7.5" customHeight="1" x14ac:dyDescent="0.25">
      <c r="E238" s="14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  <c r="CA238" s="15"/>
      <c r="CB238" s="15"/>
      <c r="CC238" s="15"/>
      <c r="CD238" s="15"/>
      <c r="CE238" s="15"/>
      <c r="CF238" s="3"/>
    </row>
    <row r="239" spans="5:84" ht="7.5" customHeight="1" x14ac:dyDescent="0.25">
      <c r="E239" s="14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  <c r="CA239" s="15"/>
      <c r="CB239" s="15"/>
      <c r="CC239" s="15"/>
      <c r="CD239" s="15"/>
      <c r="CE239" s="15"/>
      <c r="CF239" s="3"/>
    </row>
    <row r="240" spans="5:84" ht="7.5" customHeight="1" x14ac:dyDescent="0.25">
      <c r="E240" s="14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  <c r="CA240" s="15"/>
      <c r="CB240" s="15"/>
      <c r="CC240" s="15"/>
      <c r="CD240" s="15"/>
      <c r="CE240" s="15"/>
      <c r="CF240" s="3"/>
    </row>
    <row r="241" spans="5:84" ht="7.5" customHeight="1" x14ac:dyDescent="0.25">
      <c r="E241" s="14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  <c r="CA241" s="15"/>
      <c r="CB241" s="15"/>
      <c r="CC241" s="15"/>
      <c r="CD241" s="15"/>
      <c r="CE241" s="15"/>
      <c r="CF241" s="3"/>
    </row>
    <row r="242" spans="5:84" ht="7.5" customHeight="1" x14ac:dyDescent="0.25">
      <c r="E242" s="14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  <c r="CA242" s="15"/>
      <c r="CB242" s="15"/>
      <c r="CC242" s="15"/>
      <c r="CD242" s="15"/>
      <c r="CE242" s="15"/>
      <c r="CF242" s="3"/>
    </row>
    <row r="243" spans="5:84" ht="7.5" customHeight="1" x14ac:dyDescent="0.25">
      <c r="E243" s="14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  <c r="CA243" s="15"/>
      <c r="CB243" s="15"/>
      <c r="CC243" s="15"/>
      <c r="CD243" s="15"/>
      <c r="CE243" s="15"/>
      <c r="CF243" s="3"/>
    </row>
    <row r="244" spans="5:84" ht="7.5" customHeight="1" x14ac:dyDescent="0.25">
      <c r="E244" s="14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  <c r="CA244" s="15"/>
      <c r="CB244" s="15"/>
      <c r="CC244" s="15"/>
      <c r="CD244" s="15"/>
      <c r="CE244" s="15"/>
      <c r="CF244" s="3"/>
    </row>
    <row r="245" spans="5:84" ht="7.5" customHeight="1" x14ac:dyDescent="0.25">
      <c r="E245" s="16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8"/>
    </row>
    <row r="246" spans="5:84" ht="7.5" customHeight="1" x14ac:dyDescent="0.25">
      <c r="AR246" s="3"/>
    </row>
    <row r="250" spans="5:84" ht="7.5" customHeight="1" x14ac:dyDescent="0.25">
      <c r="E250" s="11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3"/>
    </row>
    <row r="251" spans="5:84" ht="7.5" customHeight="1" x14ac:dyDescent="0.25">
      <c r="E251" s="14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  <c r="CA251" s="15"/>
      <c r="CB251" s="15"/>
      <c r="CC251" s="15"/>
      <c r="CD251" s="15"/>
      <c r="CE251" s="15"/>
      <c r="CF251" s="3"/>
    </row>
    <row r="252" spans="5:84" ht="7.5" customHeight="1" x14ac:dyDescent="0.25">
      <c r="E252" s="14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  <c r="CA252" s="15"/>
      <c r="CB252" s="15"/>
      <c r="CC252" s="15"/>
      <c r="CD252" s="15"/>
      <c r="CE252" s="15"/>
      <c r="CF252" s="3"/>
    </row>
    <row r="253" spans="5:84" ht="7.5" customHeight="1" x14ac:dyDescent="0.25">
      <c r="E253" s="14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  <c r="CA253" s="15"/>
      <c r="CB253" s="15"/>
      <c r="CC253" s="15"/>
      <c r="CD253" s="15"/>
      <c r="CE253" s="15"/>
      <c r="CF253" s="3"/>
    </row>
    <row r="254" spans="5:84" ht="7.5" customHeight="1" x14ac:dyDescent="0.25">
      <c r="E254" s="14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3"/>
    </row>
    <row r="255" spans="5:84" ht="7.5" customHeight="1" x14ac:dyDescent="0.25">
      <c r="E255" s="14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  <c r="CA255" s="15"/>
      <c r="CB255" s="15"/>
      <c r="CC255" s="15"/>
      <c r="CD255" s="15"/>
      <c r="CE255" s="15"/>
      <c r="CF255" s="3"/>
    </row>
    <row r="256" spans="5:84" ht="7.5" customHeight="1" x14ac:dyDescent="0.25">
      <c r="E256" s="14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3"/>
    </row>
    <row r="257" spans="5:84" ht="7.5" customHeight="1" x14ac:dyDescent="0.25">
      <c r="E257" s="14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3"/>
    </row>
    <row r="258" spans="5:84" ht="7.5" customHeight="1" x14ac:dyDescent="0.25">
      <c r="E258" s="14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3"/>
    </row>
    <row r="259" spans="5:84" ht="7.5" customHeight="1" x14ac:dyDescent="0.25">
      <c r="E259" s="14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3"/>
    </row>
    <row r="260" spans="5:84" ht="7.5" customHeight="1" x14ac:dyDescent="0.25">
      <c r="E260" s="14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  <c r="CA260" s="15"/>
      <c r="CB260" s="15"/>
      <c r="CC260" s="15"/>
      <c r="CD260" s="15"/>
      <c r="CE260" s="15"/>
      <c r="CF260" s="3"/>
    </row>
    <row r="261" spans="5:84" ht="7.5" customHeight="1" x14ac:dyDescent="0.25">
      <c r="E261" s="14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  <c r="CA261" s="15"/>
      <c r="CB261" s="15"/>
      <c r="CC261" s="15"/>
      <c r="CD261" s="15"/>
      <c r="CE261" s="15"/>
      <c r="CF261" s="3"/>
    </row>
    <row r="262" spans="5:84" ht="7.5" customHeight="1" x14ac:dyDescent="0.25">
      <c r="E262" s="14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  <c r="CA262" s="15"/>
      <c r="CB262" s="15"/>
      <c r="CC262" s="15"/>
      <c r="CD262" s="15"/>
      <c r="CE262" s="15"/>
      <c r="CF262" s="3"/>
    </row>
    <row r="263" spans="5:84" ht="7.5" customHeight="1" x14ac:dyDescent="0.25">
      <c r="E263" s="14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  <c r="CA263" s="15"/>
      <c r="CB263" s="15"/>
      <c r="CC263" s="15"/>
      <c r="CD263" s="15"/>
      <c r="CE263" s="15"/>
      <c r="CF263" s="3"/>
    </row>
    <row r="264" spans="5:84" ht="7.5" customHeight="1" x14ac:dyDescent="0.25">
      <c r="E264" s="14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  <c r="CA264" s="15"/>
      <c r="CB264" s="15"/>
      <c r="CC264" s="15"/>
      <c r="CD264" s="15"/>
      <c r="CE264" s="15"/>
      <c r="CF264" s="3"/>
    </row>
    <row r="265" spans="5:84" ht="7.5" customHeight="1" x14ac:dyDescent="0.25">
      <c r="E265" s="14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3"/>
    </row>
    <row r="266" spans="5:84" ht="7.5" customHeight="1" x14ac:dyDescent="0.25">
      <c r="E266" s="14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  <c r="CA266" s="15"/>
      <c r="CB266" s="15"/>
      <c r="CC266" s="15"/>
      <c r="CD266" s="15"/>
      <c r="CE266" s="15"/>
      <c r="CF266" s="3"/>
    </row>
    <row r="267" spans="5:84" ht="7.5" customHeight="1" x14ac:dyDescent="0.25">
      <c r="E267" s="14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  <c r="CA267" s="15"/>
      <c r="CB267" s="15"/>
      <c r="CC267" s="15"/>
      <c r="CD267" s="15"/>
      <c r="CE267" s="15"/>
      <c r="CF267" s="3"/>
    </row>
    <row r="268" spans="5:84" ht="7.5" customHeight="1" x14ac:dyDescent="0.25">
      <c r="E268" s="14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  <c r="CA268" s="15"/>
      <c r="CB268" s="15"/>
      <c r="CC268" s="15"/>
      <c r="CD268" s="15"/>
      <c r="CE268" s="15"/>
      <c r="CF268" s="3"/>
    </row>
    <row r="269" spans="5:84" ht="7.5" customHeight="1" x14ac:dyDescent="0.25">
      <c r="E269" s="14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  <c r="CA269" s="15"/>
      <c r="CB269" s="15"/>
      <c r="CC269" s="15"/>
      <c r="CD269" s="15"/>
      <c r="CE269" s="15"/>
      <c r="CF269" s="3"/>
    </row>
    <row r="270" spans="5:84" ht="7.5" customHeight="1" x14ac:dyDescent="0.25">
      <c r="E270" s="14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  <c r="CA270" s="15"/>
      <c r="CB270" s="15"/>
      <c r="CC270" s="15"/>
      <c r="CD270" s="15"/>
      <c r="CE270" s="15"/>
      <c r="CF270" s="3"/>
    </row>
    <row r="271" spans="5:84" ht="7.5" customHeight="1" x14ac:dyDescent="0.25">
      <c r="E271" s="14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  <c r="CA271" s="15"/>
      <c r="CB271" s="15"/>
      <c r="CC271" s="15"/>
      <c r="CD271" s="15"/>
      <c r="CE271" s="15"/>
      <c r="CF271" s="3"/>
    </row>
    <row r="272" spans="5:84" ht="7.5" customHeight="1" x14ac:dyDescent="0.25">
      <c r="E272" s="14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  <c r="CA272" s="15"/>
      <c r="CB272" s="15"/>
      <c r="CC272" s="15"/>
      <c r="CD272" s="15"/>
      <c r="CE272" s="15"/>
      <c r="CF272" s="3"/>
    </row>
    <row r="273" spans="5:84" ht="7.5" customHeight="1" x14ac:dyDescent="0.25">
      <c r="E273" s="14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  <c r="CA273" s="15"/>
      <c r="CB273" s="15"/>
      <c r="CC273" s="15"/>
      <c r="CD273" s="15"/>
      <c r="CE273" s="15"/>
      <c r="CF273" s="3"/>
    </row>
    <row r="274" spans="5:84" ht="7.5" customHeight="1" x14ac:dyDescent="0.25">
      <c r="E274" s="14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  <c r="CA274" s="15"/>
      <c r="CB274" s="15"/>
      <c r="CC274" s="15"/>
      <c r="CD274" s="15"/>
      <c r="CE274" s="15"/>
      <c r="CF274" s="3"/>
    </row>
    <row r="275" spans="5:84" ht="7.5" customHeight="1" x14ac:dyDescent="0.25">
      <c r="E275" s="14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  <c r="CA275" s="15"/>
      <c r="CB275" s="15"/>
      <c r="CC275" s="15"/>
      <c r="CD275" s="15"/>
      <c r="CE275" s="15"/>
      <c r="CF275" s="3"/>
    </row>
    <row r="276" spans="5:84" ht="7.5" customHeight="1" x14ac:dyDescent="0.25">
      <c r="E276" s="14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  <c r="CA276" s="15"/>
      <c r="CB276" s="15"/>
      <c r="CC276" s="15"/>
      <c r="CD276" s="15"/>
      <c r="CE276" s="15"/>
      <c r="CF276" s="3"/>
    </row>
    <row r="277" spans="5:84" ht="7.5" customHeight="1" x14ac:dyDescent="0.25">
      <c r="E277" s="14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  <c r="CA277" s="15"/>
      <c r="CB277" s="15"/>
      <c r="CC277" s="15"/>
      <c r="CD277" s="15"/>
      <c r="CE277" s="15"/>
      <c r="CF277" s="3"/>
    </row>
    <row r="278" spans="5:84" ht="7.5" customHeight="1" x14ac:dyDescent="0.25">
      <c r="E278" s="14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  <c r="CA278" s="15"/>
      <c r="CB278" s="15"/>
      <c r="CC278" s="15"/>
      <c r="CD278" s="15"/>
      <c r="CE278" s="15"/>
      <c r="CF278" s="3"/>
    </row>
    <row r="279" spans="5:84" ht="7.5" customHeight="1" x14ac:dyDescent="0.25">
      <c r="E279" s="14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  <c r="CA279" s="15"/>
      <c r="CB279" s="15"/>
      <c r="CC279" s="15"/>
      <c r="CD279" s="15"/>
      <c r="CE279" s="15"/>
      <c r="CF279" s="3"/>
    </row>
    <row r="280" spans="5:84" ht="7.5" customHeight="1" x14ac:dyDescent="0.25">
      <c r="E280" s="14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  <c r="CA280" s="15"/>
      <c r="CB280" s="15"/>
      <c r="CC280" s="15"/>
      <c r="CD280" s="15"/>
      <c r="CE280" s="15"/>
      <c r="CF280" s="3"/>
    </row>
    <row r="281" spans="5:84" ht="7.5" customHeight="1" x14ac:dyDescent="0.25">
      <c r="E281" s="14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5"/>
      <c r="BQ281" s="15"/>
      <c r="BR281" s="15"/>
      <c r="BS281" s="15"/>
      <c r="BT281" s="15"/>
      <c r="BU281" s="15"/>
      <c r="BV281" s="15"/>
      <c r="BW281" s="15"/>
      <c r="BX281" s="15"/>
      <c r="BY281" s="15"/>
      <c r="BZ281" s="15"/>
      <c r="CA281" s="15"/>
      <c r="CB281" s="15"/>
      <c r="CC281" s="15"/>
      <c r="CD281" s="15"/>
      <c r="CE281" s="15"/>
      <c r="CF281" s="3"/>
    </row>
    <row r="282" spans="5:84" ht="7.5" customHeight="1" x14ac:dyDescent="0.25">
      <c r="E282" s="14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5"/>
      <c r="BQ282" s="15"/>
      <c r="BR282" s="15"/>
      <c r="BS282" s="15"/>
      <c r="BT282" s="15"/>
      <c r="BU282" s="15"/>
      <c r="BV282" s="15"/>
      <c r="BW282" s="15"/>
      <c r="BX282" s="15"/>
      <c r="BY282" s="15"/>
      <c r="BZ282" s="15"/>
      <c r="CA282" s="15"/>
      <c r="CB282" s="15"/>
      <c r="CC282" s="15"/>
      <c r="CD282" s="15"/>
      <c r="CE282" s="15"/>
      <c r="CF282" s="3"/>
    </row>
    <row r="283" spans="5:84" ht="7.5" customHeight="1" x14ac:dyDescent="0.25">
      <c r="E283" s="14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5"/>
      <c r="BQ283" s="15"/>
      <c r="BR283" s="15"/>
      <c r="BS283" s="15"/>
      <c r="BT283" s="15"/>
      <c r="BU283" s="15"/>
      <c r="BV283" s="15"/>
      <c r="BW283" s="15"/>
      <c r="BX283" s="15"/>
      <c r="BY283" s="15"/>
      <c r="BZ283" s="15"/>
      <c r="CA283" s="15"/>
      <c r="CB283" s="15"/>
      <c r="CC283" s="15"/>
      <c r="CD283" s="15"/>
      <c r="CE283" s="15"/>
      <c r="CF283" s="3"/>
    </row>
    <row r="284" spans="5:84" ht="7.5" customHeight="1" x14ac:dyDescent="0.25">
      <c r="E284" s="14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5"/>
      <c r="BQ284" s="15"/>
      <c r="BR284" s="15"/>
      <c r="BS284" s="15"/>
      <c r="BT284" s="15"/>
      <c r="BU284" s="15"/>
      <c r="BV284" s="15"/>
      <c r="BW284" s="15"/>
      <c r="BX284" s="15"/>
      <c r="BY284" s="15"/>
      <c r="BZ284" s="15"/>
      <c r="CA284" s="15"/>
      <c r="CB284" s="15"/>
      <c r="CC284" s="15"/>
      <c r="CD284" s="15"/>
      <c r="CE284" s="15"/>
      <c r="CF284" s="3"/>
    </row>
    <row r="285" spans="5:84" ht="7.5" customHeight="1" x14ac:dyDescent="0.25">
      <c r="E285" s="14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5"/>
      <c r="BQ285" s="15"/>
      <c r="BR285" s="15"/>
      <c r="BS285" s="15"/>
      <c r="BT285" s="15"/>
      <c r="BU285" s="15"/>
      <c r="BV285" s="15"/>
      <c r="BW285" s="15"/>
      <c r="BX285" s="15"/>
      <c r="BY285" s="15"/>
      <c r="BZ285" s="15"/>
      <c r="CA285" s="15"/>
      <c r="CB285" s="15"/>
      <c r="CC285" s="15"/>
      <c r="CD285" s="15"/>
      <c r="CE285" s="15"/>
      <c r="CF285" s="3"/>
    </row>
    <row r="286" spans="5:84" ht="7.5" customHeight="1" x14ac:dyDescent="0.25">
      <c r="E286" s="14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5"/>
      <c r="BQ286" s="15"/>
      <c r="BR286" s="15"/>
      <c r="BS286" s="15"/>
      <c r="BT286" s="15"/>
      <c r="BU286" s="15"/>
      <c r="BV286" s="15"/>
      <c r="BW286" s="15"/>
      <c r="BX286" s="15"/>
      <c r="BY286" s="15"/>
      <c r="BZ286" s="15"/>
      <c r="CA286" s="15"/>
      <c r="CB286" s="15"/>
      <c r="CC286" s="15"/>
      <c r="CD286" s="15"/>
      <c r="CE286" s="15"/>
      <c r="CF286" s="3"/>
    </row>
    <row r="287" spans="5:84" ht="7.5" customHeight="1" x14ac:dyDescent="0.25">
      <c r="E287" s="14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5"/>
      <c r="BQ287" s="15"/>
      <c r="BR287" s="15"/>
      <c r="BS287" s="15"/>
      <c r="BT287" s="15"/>
      <c r="BU287" s="15"/>
      <c r="BV287" s="15"/>
      <c r="BW287" s="15"/>
      <c r="BX287" s="15"/>
      <c r="BY287" s="15"/>
      <c r="BZ287" s="15"/>
      <c r="CA287" s="15"/>
      <c r="CB287" s="15"/>
      <c r="CC287" s="15"/>
      <c r="CD287" s="15"/>
      <c r="CE287" s="15"/>
      <c r="CF287" s="3"/>
    </row>
    <row r="288" spans="5:84" ht="7.5" customHeight="1" x14ac:dyDescent="0.25">
      <c r="E288" s="14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5"/>
      <c r="BQ288" s="15"/>
      <c r="BR288" s="15"/>
      <c r="BS288" s="15"/>
      <c r="BT288" s="15"/>
      <c r="BU288" s="15"/>
      <c r="BV288" s="15"/>
      <c r="BW288" s="15"/>
      <c r="BX288" s="15"/>
      <c r="BY288" s="15"/>
      <c r="BZ288" s="15"/>
      <c r="CA288" s="15"/>
      <c r="CB288" s="15"/>
      <c r="CC288" s="15"/>
      <c r="CD288" s="15"/>
      <c r="CE288" s="15"/>
      <c r="CF288" s="3"/>
    </row>
    <row r="289" spans="5:84" ht="7.5" customHeight="1" x14ac:dyDescent="0.25">
      <c r="E289" s="14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5"/>
      <c r="BQ289" s="15"/>
      <c r="BR289" s="15"/>
      <c r="BS289" s="15"/>
      <c r="BT289" s="15"/>
      <c r="BU289" s="15"/>
      <c r="BV289" s="15"/>
      <c r="BW289" s="15"/>
      <c r="BX289" s="15"/>
      <c r="BY289" s="15"/>
      <c r="BZ289" s="15"/>
      <c r="CA289" s="15"/>
      <c r="CB289" s="15"/>
      <c r="CC289" s="15"/>
      <c r="CD289" s="15"/>
      <c r="CE289" s="15"/>
      <c r="CF289" s="3"/>
    </row>
    <row r="290" spans="5:84" ht="7.5" customHeight="1" x14ac:dyDescent="0.25">
      <c r="E290" s="14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5"/>
      <c r="BQ290" s="15"/>
      <c r="BR290" s="15"/>
      <c r="BS290" s="15"/>
      <c r="BT290" s="15"/>
      <c r="BU290" s="15"/>
      <c r="BV290" s="15"/>
      <c r="BW290" s="15"/>
      <c r="BX290" s="15"/>
      <c r="BY290" s="15"/>
      <c r="BZ290" s="15"/>
      <c r="CA290" s="15"/>
      <c r="CB290" s="15"/>
      <c r="CC290" s="15"/>
      <c r="CD290" s="15"/>
      <c r="CE290" s="15"/>
      <c r="CF290" s="3"/>
    </row>
    <row r="291" spans="5:84" ht="7.5" customHeight="1" x14ac:dyDescent="0.25">
      <c r="E291" s="14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5"/>
      <c r="BQ291" s="15"/>
      <c r="BR291" s="15"/>
      <c r="BS291" s="15"/>
      <c r="BT291" s="15"/>
      <c r="BU291" s="15"/>
      <c r="BV291" s="15"/>
      <c r="BW291" s="15"/>
      <c r="BX291" s="15"/>
      <c r="BY291" s="15"/>
      <c r="BZ291" s="15"/>
      <c r="CA291" s="15"/>
      <c r="CB291" s="15"/>
      <c r="CC291" s="15"/>
      <c r="CD291" s="15"/>
      <c r="CE291" s="15"/>
      <c r="CF291" s="3"/>
    </row>
    <row r="292" spans="5:84" ht="7.5" customHeight="1" x14ac:dyDescent="0.25">
      <c r="E292" s="14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5"/>
      <c r="BQ292" s="15"/>
      <c r="BR292" s="15"/>
      <c r="BS292" s="15"/>
      <c r="BT292" s="15"/>
      <c r="BU292" s="15"/>
      <c r="BV292" s="15"/>
      <c r="BW292" s="15"/>
      <c r="BX292" s="15"/>
      <c r="BY292" s="15"/>
      <c r="BZ292" s="15"/>
      <c r="CA292" s="15"/>
      <c r="CB292" s="15"/>
      <c r="CC292" s="15"/>
      <c r="CD292" s="15"/>
      <c r="CE292" s="15"/>
      <c r="CF292" s="3"/>
    </row>
    <row r="293" spans="5:84" ht="7.5" customHeight="1" x14ac:dyDescent="0.25">
      <c r="E293" s="14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5"/>
      <c r="BQ293" s="15"/>
      <c r="BR293" s="15"/>
      <c r="BS293" s="15"/>
      <c r="BT293" s="15"/>
      <c r="BU293" s="15"/>
      <c r="BV293" s="15"/>
      <c r="BW293" s="15"/>
      <c r="BX293" s="15"/>
      <c r="BY293" s="15"/>
      <c r="BZ293" s="15"/>
      <c r="CA293" s="15"/>
      <c r="CB293" s="15"/>
      <c r="CC293" s="15"/>
      <c r="CD293" s="15"/>
      <c r="CE293" s="15"/>
      <c r="CF293" s="3"/>
    </row>
    <row r="294" spans="5:84" ht="7.5" customHeight="1" x14ac:dyDescent="0.25">
      <c r="E294" s="16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  <c r="BI294" s="17"/>
      <c r="BJ294" s="17"/>
      <c r="BK294" s="17"/>
      <c r="BL294" s="17"/>
      <c r="BM294" s="17"/>
      <c r="BN294" s="17"/>
      <c r="BO294" s="17"/>
      <c r="BP294" s="17"/>
      <c r="BQ294" s="17"/>
      <c r="BR294" s="17"/>
      <c r="BS294" s="17"/>
      <c r="BT294" s="17"/>
      <c r="BU294" s="17"/>
      <c r="BV294" s="17"/>
      <c r="BW294" s="17"/>
      <c r="BX294" s="17"/>
      <c r="BY294" s="17"/>
      <c r="BZ294" s="17"/>
      <c r="CA294" s="17"/>
      <c r="CB294" s="17"/>
      <c r="CC294" s="17"/>
      <c r="CD294" s="17"/>
      <c r="CE294" s="17"/>
      <c r="CF294" s="18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"/>
  <sheetViews>
    <sheetView workbookViewId="0">
      <selection activeCell="R5" sqref="R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Y51"/>
  <sheetViews>
    <sheetView zoomScale="85" zoomScaleNormal="85" workbookViewId="0">
      <selection activeCell="C3" sqref="C3:D4"/>
    </sheetView>
  </sheetViews>
  <sheetFormatPr defaultColWidth="3.42578125" defaultRowHeight="15" x14ac:dyDescent="0.25"/>
  <cols>
    <col min="3" max="10" width="3.7109375" customWidth="1"/>
    <col min="12" max="12" width="20.42578125" customWidth="1"/>
    <col min="13" max="13" width="3.85546875" customWidth="1"/>
    <col min="14" max="21" width="3.7109375" customWidth="1"/>
    <col min="24" max="24" width="3.7109375" bestFit="1" customWidth="1"/>
    <col min="28" max="28" width="3.7109375" bestFit="1" customWidth="1"/>
  </cols>
  <sheetData>
    <row r="2" spans="2:12" x14ac:dyDescent="0.25">
      <c r="C2">
        <v>7</v>
      </c>
      <c r="D2" s="6">
        <f>C2-1</f>
        <v>6</v>
      </c>
      <c r="E2" s="6">
        <f t="shared" ref="E2:J2" si="0">D2-1</f>
        <v>5</v>
      </c>
      <c r="F2" s="6">
        <f t="shared" si="0"/>
        <v>4</v>
      </c>
      <c r="G2" s="6">
        <f t="shared" si="0"/>
        <v>3</v>
      </c>
      <c r="H2" s="6">
        <f t="shared" si="0"/>
        <v>2</v>
      </c>
      <c r="I2" s="6">
        <f t="shared" si="0"/>
        <v>1</v>
      </c>
      <c r="J2" s="6">
        <f t="shared" si="0"/>
        <v>0</v>
      </c>
    </row>
    <row r="3" spans="2:12" ht="18" customHeight="1" x14ac:dyDescent="0.25">
      <c r="B3">
        <v>7</v>
      </c>
      <c r="C3" s="2">
        <f t="array" ref="C3">SUM((C$2=$C$12:$J$12)*($B3=$B$13:$B$20)*($C$13:$J$20))</f>
        <v>183</v>
      </c>
      <c r="D3" s="2">
        <f t="array" ref="D3">SUM((D$2=$C$12:$J$12)*($B3=$B$13:$B$20)*($C$13:$J$20))</f>
        <v>159</v>
      </c>
      <c r="E3" s="2">
        <f t="array" ref="E3">SUM((E$2=$C$12:$J$12)*($B3=$B$13:$B$20)*($C$13:$J$20))</f>
        <v>139</v>
      </c>
      <c r="F3" s="2">
        <f t="array" ref="F3">SUM((F$2=$C$12:$J$12)*($B3=$B$13:$B$20)*($C$13:$J$20))</f>
        <v>123</v>
      </c>
      <c r="G3" s="2">
        <f t="array" ref="G3">SUM((G$2=$C$12:$J$12)*($B3=$B$13:$B$20)*($C$13:$J$20))</f>
        <v>111</v>
      </c>
      <c r="H3" s="2">
        <f t="array" ref="H3">SUM((H$2=$C$12:$J$12)*($B3=$B$13:$B$20)*($C$13:$J$20))</f>
        <v>103</v>
      </c>
      <c r="I3" s="2">
        <f t="array" ref="I3">SUM((I$2=$C$12:$J$12)*($B3=$B$13:$B$20)*($C$13:$J$20))</f>
        <v>99</v>
      </c>
      <c r="J3" s="2">
        <f t="array" ref="J3">SUM((J$2=$C$12:$J$12)*($B3=$B$13:$B$20)*($C$13:$J$20))</f>
        <v>99</v>
      </c>
      <c r="L3" t="str">
        <f>"["&amp;C3&amp;","&amp;D3&amp;","&amp;E3&amp;","&amp;F3&amp;","&amp;G3&amp;","&amp;H3&amp;","&amp;I3&amp;","&amp;J3&amp;"],"</f>
        <v>[183,159,139,123,111,103,99,99],</v>
      </c>
    </row>
    <row r="4" spans="2:12" ht="18" customHeight="1" x14ac:dyDescent="0.25">
      <c r="B4">
        <v>6</v>
      </c>
      <c r="C4" s="2">
        <f t="array" ref="C4">SUM((C$2=$C$12:$J$12)*($B4=$B$13:$B$20)*($C$13:$J$20))</f>
        <v>157</v>
      </c>
      <c r="D4" s="2">
        <f t="array" ref="D4">SUM((D$2=$C$12:$J$12)*($B4=$B$13:$B$20)*($C$13:$J$20))</f>
        <v>133</v>
      </c>
      <c r="E4" s="2">
        <f t="array" ref="E4">SUM((E$2=$C$12:$J$12)*($B4=$B$13:$B$20)*($C$13:$J$20))</f>
        <v>113</v>
      </c>
      <c r="F4" s="2">
        <f t="array" ref="F4">SUM((F$2=$C$12:$J$12)*($B4=$B$13:$B$20)*($C$13:$J$20))</f>
        <v>97</v>
      </c>
      <c r="G4" s="2">
        <f t="array" ref="G4">SUM((G$2=$C$12:$J$12)*($B4=$B$13:$B$20)*($C$13:$J$20))</f>
        <v>85</v>
      </c>
      <c r="H4" s="2">
        <f t="array" ref="H4">SUM((H$2=$C$12:$J$12)*($B4=$B$13:$B$20)*($C$13:$J$20))</f>
        <v>77</v>
      </c>
      <c r="I4" s="2">
        <f t="array" ref="I4">SUM((I$2=$C$12:$J$12)*($B4=$B$13:$B$20)*($C$13:$J$20))</f>
        <v>73</v>
      </c>
      <c r="J4" s="2">
        <f t="array" ref="J4">SUM((J$2=$C$12:$J$12)*($B4=$B$13:$B$20)*($C$13:$J$20))</f>
        <v>73</v>
      </c>
      <c r="L4" t="str">
        <f t="shared" ref="L4:L9" si="1">"["&amp;C4&amp;","&amp;D4&amp;","&amp;E4&amp;","&amp;F4&amp;","&amp;G4&amp;","&amp;H4&amp;","&amp;I4&amp;","&amp;J4&amp;"],"</f>
        <v>[157,133,113,97,85,77,73,73],</v>
      </c>
    </row>
    <row r="5" spans="2:12" ht="18" customHeight="1" x14ac:dyDescent="0.25">
      <c r="B5">
        <v>5</v>
      </c>
      <c r="C5" s="2">
        <f t="array" ref="C5">SUM((C$2=$C$12:$J$12)*($B5=$B$13:$B$20)*($C$13:$J$20))</f>
        <v>135</v>
      </c>
      <c r="D5" s="2">
        <f t="array" ref="D5">SUM((D$2=$C$12:$J$12)*($B5=$B$13:$B$20)*($C$13:$J$20))</f>
        <v>111</v>
      </c>
      <c r="E5" s="2">
        <f t="array" ref="E5">SUM((E$2=$C$12:$J$12)*($B5=$B$13:$B$20)*($C$13:$J$20))</f>
        <v>91</v>
      </c>
      <c r="F5" s="2">
        <f t="array" ref="F5">SUM((F$2=$C$12:$J$12)*($B5=$B$13:$B$20)*($C$13:$J$20))</f>
        <v>75</v>
      </c>
      <c r="G5" s="2">
        <f t="array" ref="G5">SUM((G$2=$C$12:$J$12)*($B5=$B$13:$B$20)*($C$13:$J$20))</f>
        <v>63</v>
      </c>
      <c r="H5" s="2">
        <f t="array" ref="H5">SUM((H$2=$C$12:$J$12)*($B5=$B$13:$B$20)*($C$13:$J$20))</f>
        <v>55</v>
      </c>
      <c r="I5" s="2">
        <f t="array" ref="I5">SUM((I$2=$C$12:$J$12)*($B5=$B$13:$B$20)*($C$13:$J$20))</f>
        <v>51</v>
      </c>
      <c r="J5" s="2">
        <f t="array" ref="J5">SUM((J$2=$C$12:$J$12)*($B5=$B$13:$B$20)*($C$13:$J$20))</f>
        <v>51</v>
      </c>
      <c r="L5" t="str">
        <f t="shared" si="1"/>
        <v>[135,111,91,75,63,55,51,51],</v>
      </c>
    </row>
    <row r="6" spans="2:12" ht="18" customHeight="1" x14ac:dyDescent="0.25">
      <c r="B6">
        <v>4</v>
      </c>
      <c r="C6" s="2">
        <f t="array" ref="C6">SUM((C$2=$C$12:$J$12)*($B6=$B$13:$B$20)*($C$13:$J$20))</f>
        <v>117</v>
      </c>
      <c r="D6" s="2">
        <f t="array" ref="D6">SUM((D$2=$C$12:$J$12)*($B6=$B$13:$B$20)*($C$13:$J$20))</f>
        <v>93</v>
      </c>
      <c r="E6" s="2">
        <f t="array" ref="E6">SUM((E$2=$C$12:$J$12)*($B6=$B$13:$B$20)*($C$13:$J$20))</f>
        <v>73</v>
      </c>
      <c r="F6" s="2">
        <f t="array" ref="F6">SUM((F$2=$C$12:$J$12)*($B6=$B$13:$B$20)*($C$13:$J$20))</f>
        <v>57</v>
      </c>
      <c r="G6" s="2">
        <f t="array" ref="G6">SUM((G$2=$C$12:$J$12)*($B6=$B$13:$B$20)*($C$13:$J$20))</f>
        <v>45</v>
      </c>
      <c r="H6" s="2">
        <f t="array" ref="H6">SUM((H$2=$C$12:$J$12)*($B6=$B$13:$B$20)*($C$13:$J$20))</f>
        <v>37</v>
      </c>
      <c r="I6" s="2">
        <f t="array" ref="I6">SUM((I$2=$C$12:$J$12)*($B6=$B$13:$B$20)*($C$13:$J$20))</f>
        <v>33</v>
      </c>
      <c r="J6" s="2">
        <f t="array" ref="J6">SUM((J$2=$C$12:$J$12)*($B6=$B$13:$B$20)*($C$13:$J$20))</f>
        <v>33</v>
      </c>
      <c r="L6" t="str">
        <f t="shared" si="1"/>
        <v>[117,93,73,57,45,37,33,33],</v>
      </c>
    </row>
    <row r="7" spans="2:12" ht="18" customHeight="1" x14ac:dyDescent="0.25">
      <c r="B7">
        <v>3</v>
      </c>
      <c r="C7" s="2">
        <f t="array" ref="C7">SUM((C$2=$C$12:$J$12)*($B7=$B$13:$B$20)*($C$13:$J$20))</f>
        <v>103</v>
      </c>
      <c r="D7" s="2">
        <f t="array" ref="D7">SUM((D$2=$C$12:$J$12)*($B7=$B$13:$B$20)*($C$13:$J$20))</f>
        <v>79</v>
      </c>
      <c r="E7" s="2">
        <f t="array" ref="E7">SUM((E$2=$C$12:$J$12)*($B7=$B$13:$B$20)*($C$13:$J$20))</f>
        <v>59</v>
      </c>
      <c r="F7" s="2">
        <f t="array" ref="F7">SUM((F$2=$C$12:$J$12)*($B7=$B$13:$B$20)*($C$13:$J$20))</f>
        <v>43</v>
      </c>
      <c r="G7" s="2">
        <f t="array" ref="G7">SUM((G$2=$C$12:$J$12)*($B7=$B$13:$B$20)*($C$13:$J$20))</f>
        <v>31</v>
      </c>
      <c r="H7" s="2">
        <f t="array" ref="H7">SUM((H$2=$C$12:$J$12)*($B7=$B$13:$B$20)*($C$13:$J$20))</f>
        <v>23</v>
      </c>
      <c r="I7" s="2">
        <f t="array" ref="I7">SUM((I$2=$C$12:$J$12)*($B7=$B$13:$B$20)*($C$13:$J$20))</f>
        <v>19</v>
      </c>
      <c r="J7" s="2">
        <f t="array" ref="J7">SUM((J$2=$C$12:$J$12)*($B7=$B$13:$B$20)*($C$13:$J$20))</f>
        <v>19</v>
      </c>
      <c r="L7" t="str">
        <f t="shared" si="1"/>
        <v>[103,79,59,43,31,23,19,19],</v>
      </c>
    </row>
    <row r="8" spans="2:12" ht="18" customHeight="1" x14ac:dyDescent="0.25">
      <c r="B8">
        <v>2</v>
      </c>
      <c r="C8" s="2">
        <f t="array" ref="C8">SUM((C$2=$C$12:$J$12)*($B8=$B$13:$B$20)*($C$13:$J$20))</f>
        <v>93</v>
      </c>
      <c r="D8" s="2">
        <f t="array" ref="D8">SUM((D$2=$C$12:$J$12)*($B8=$B$13:$B$20)*($C$13:$J$20))</f>
        <v>69</v>
      </c>
      <c r="E8" s="2">
        <f t="array" ref="E8">SUM((E$2=$C$12:$J$12)*($B8=$B$13:$B$20)*($C$13:$J$20))</f>
        <v>49</v>
      </c>
      <c r="F8" s="2">
        <f t="array" ref="F8">SUM((F$2=$C$12:$J$12)*($B8=$B$13:$B$20)*($C$13:$J$20))</f>
        <v>33</v>
      </c>
      <c r="G8" s="2">
        <f t="array" ref="G8">SUM((G$2=$C$12:$J$12)*($B8=$B$13:$B$20)*($C$13:$J$20))</f>
        <v>16</v>
      </c>
      <c r="H8" s="2">
        <f t="array" ref="H8">SUM((H$2=$C$12:$J$12)*($B8=$B$13:$B$20)*($C$13:$J$20))</f>
        <v>8</v>
      </c>
      <c r="I8" s="2">
        <f t="array" ref="I8">SUM((I$2=$C$12:$J$12)*($B8=$B$13:$B$20)*($C$13:$J$20))</f>
        <v>4</v>
      </c>
      <c r="J8" s="2">
        <f t="array" ref="J8">SUM((J$2=$C$12:$J$12)*($B8=$B$13:$B$20)*($C$13:$J$20))</f>
        <v>4</v>
      </c>
      <c r="L8" t="str">
        <f t="shared" si="1"/>
        <v>[93,69,49,33,16,8,4,4],</v>
      </c>
    </row>
    <row r="9" spans="2:12" ht="18" customHeight="1" x14ac:dyDescent="0.25">
      <c r="B9">
        <v>1</v>
      </c>
      <c r="C9" s="2">
        <f t="array" ref="C9">SUM((C$2=$C$12:$J$12)*($B9=$B$13:$B$20)*($C$13:$J$20))</f>
        <v>87</v>
      </c>
      <c r="D9" s="2">
        <f t="array" ref="D9">SUM((D$2=$C$12:$J$12)*($B9=$B$13:$B$20)*($C$13:$J$20))</f>
        <v>63</v>
      </c>
      <c r="E9" s="2">
        <f t="array" ref="E9">SUM((E$2=$C$12:$J$12)*($B9=$B$13:$B$20)*($C$13:$J$20))</f>
        <v>43</v>
      </c>
      <c r="F9" s="2">
        <f t="array" ref="F9">SUM((F$2=$C$12:$J$12)*($B9=$B$13:$B$20)*($C$13:$J$20))</f>
        <v>27</v>
      </c>
      <c r="G9" s="2">
        <f t="array" ref="G9">SUM((G$2=$C$12:$J$12)*($B9=$B$13:$B$20)*($C$13:$J$20))</f>
        <v>10</v>
      </c>
      <c r="H9" s="2">
        <f t="array" ref="H9">SUM((H$2=$C$12:$J$12)*($B9=$B$13:$B$20)*($C$13:$J$20))</f>
        <v>2</v>
      </c>
      <c r="I9" s="2">
        <f t="array" ref="I9">SUM((I$2=$C$12:$J$12)*($B9=$B$13:$B$20)*($C$13:$J$20))</f>
        <v>-2</v>
      </c>
      <c r="J9" s="2">
        <f t="array" ref="J9">SUM((J$2=$C$12:$J$12)*($B9=$B$13:$B$20)*($C$13:$J$20))</f>
        <v>-2</v>
      </c>
      <c r="L9" t="str">
        <f t="shared" si="1"/>
        <v>[87,63,43,27,10,2,-2,-2],</v>
      </c>
    </row>
    <row r="10" spans="2:12" ht="18" customHeight="1" x14ac:dyDescent="0.25">
      <c r="B10">
        <v>0</v>
      </c>
      <c r="C10" s="2">
        <f t="array" ref="C10">SUM((C$2=$C$12:$J$12)*($B10=$B$13:$B$20)*($C$13:$J$20))</f>
        <v>85</v>
      </c>
      <c r="D10" s="2">
        <f t="array" ref="D10">SUM((D$2=$C$12:$J$12)*($B10=$B$13:$B$20)*($C$13:$J$20))</f>
        <v>61</v>
      </c>
      <c r="E10" s="2">
        <f t="array" ref="E10">SUM((E$2=$C$12:$J$12)*($B10=$B$13:$B$20)*($C$13:$J$20))</f>
        <v>41</v>
      </c>
      <c r="F10" s="2">
        <f t="array" ref="F10">SUM((F$2=$C$12:$J$12)*($B10=$B$13:$B$20)*($C$13:$J$20))</f>
        <v>25</v>
      </c>
      <c r="G10" s="2">
        <f t="array" ref="G10">SUM((G$2=$C$12:$J$12)*($B10=$B$13:$B$20)*($C$13:$J$20))</f>
        <v>8</v>
      </c>
      <c r="H10" s="2">
        <f t="array" ref="H10">SUM((H$2=$C$12:$J$12)*($B10=$B$13:$B$20)*($C$13:$J$20))</f>
        <v>0</v>
      </c>
      <c r="I10" s="2">
        <f t="array" ref="I10">SUM((I$2=$C$12:$J$12)*($B10=$B$13:$B$20)*($C$13:$J$20))</f>
        <v>-4</v>
      </c>
      <c r="J10" s="2">
        <f t="array" ref="J10">SUM((J$2=$C$12:$J$12)*($B10=$B$13:$B$20)*($C$13:$J$20))</f>
        <v>-4</v>
      </c>
      <c r="L10" t="str">
        <f>"["&amp;C10&amp;","&amp;D10&amp;","&amp;E10&amp;","&amp;F10&amp;","&amp;G10&amp;","&amp;H10&amp;","&amp;I10&amp;","&amp;J10&amp;"]"</f>
        <v>[85,61,41,25,8,0,-4,-4]</v>
      </c>
    </row>
    <row r="11" spans="2:12" ht="18" customHeight="1" x14ac:dyDescent="0.25">
      <c r="C11" s="1"/>
      <c r="D11" s="1"/>
      <c r="E11" s="1"/>
      <c r="F11" s="1"/>
      <c r="G11" s="1"/>
      <c r="H11" s="1"/>
      <c r="I11" s="1"/>
      <c r="J11" s="1"/>
    </row>
    <row r="12" spans="2:12" ht="18" customHeight="1" x14ac:dyDescent="0.25">
      <c r="C12">
        <v>0</v>
      </c>
      <c r="D12">
        <v>1</v>
      </c>
      <c r="E12">
        <v>2</v>
      </c>
      <c r="F12">
        <v>3</v>
      </c>
      <c r="G12">
        <v>4</v>
      </c>
      <c r="H12">
        <v>5</v>
      </c>
      <c r="I12">
        <v>6</v>
      </c>
      <c r="J12">
        <v>7</v>
      </c>
      <c r="L12" s="1">
        <v>1</v>
      </c>
    </row>
    <row r="13" spans="2:12" ht="18" customHeight="1" x14ac:dyDescent="0.25">
      <c r="B13">
        <v>0</v>
      </c>
      <c r="C13" s="2">
        <f t="array" ref="C13">(C$12^2+$B13^2)^$L$12+((1-C$12)^2+$B13^2)^$L$12+C23</f>
        <v>-4</v>
      </c>
      <c r="D13" s="2">
        <f t="array" ref="D13">(D$12^2+$B13^2)^$L$12+((1-D$12)^2+$B13^2)^$L$12+D23</f>
        <v>-4</v>
      </c>
      <c r="E13" s="2">
        <f t="array" ref="E13">(E$12^2+$B13^2)^$L$12+((1-E$12)^2+$B13^2)^$L$12+E23</f>
        <v>0</v>
      </c>
      <c r="F13" s="2">
        <f t="array" ref="F13">(F$12^2+$B13^2)^$L$12+((1-F$12)^2+$B13^2)^$L$12+F23</f>
        <v>8</v>
      </c>
      <c r="G13" s="2">
        <f t="array" ref="G13">(G$12^2+$B13^2)^$L$12+((1-G$12)^2+$B13^2)^$L$12+G23</f>
        <v>25</v>
      </c>
      <c r="H13" s="2">
        <f t="array" ref="H13">(H$12^2+$B13^2)^$L$12+((1-H$12)^2+$B13^2)^$L$12+H23</f>
        <v>41</v>
      </c>
      <c r="I13" s="2">
        <f t="array" ref="I13">(I$12^2+$B13^2)^$L$12+((1-I$12)^2+$B13^2)^$L$12+I23</f>
        <v>61</v>
      </c>
      <c r="J13" s="2">
        <f t="array" ref="J13">(J$12^2+$B13^2)^$L$12+((1-J$12)^2+$B13^2)^$L$12+J23</f>
        <v>85</v>
      </c>
      <c r="L13" t="str">
        <f t="shared" ref="L13:L19" si="2">"["&amp;C13&amp;","&amp;D13&amp;","&amp;E13&amp;","&amp;F13&amp;","&amp;G13&amp;","&amp;H13&amp;","&amp;I13&amp;","&amp;J13&amp;"],"</f>
        <v>[-4,-4,0,8,25,41,61,85],</v>
      </c>
    </row>
    <row r="14" spans="2:12" ht="18" customHeight="1" x14ac:dyDescent="0.25">
      <c r="B14">
        <v>1</v>
      </c>
      <c r="C14" s="2">
        <f t="array" ref="C14">(C$12^2+$B14^2)^$L$12+((1-C$12)^2+$B14^2)^$L$12+C24</f>
        <v>-2</v>
      </c>
      <c r="D14" s="2">
        <f t="array" ref="D14">(D$12^2+$B14^2)^$L$12+((1-D$12)^2+$B14^2)^$L$12+D24</f>
        <v>-2</v>
      </c>
      <c r="E14" s="2">
        <f t="array" ref="E14">(E$12^2+$B14^2)^$L$12+((1-E$12)^2+$B14^2)^$L$12+E24</f>
        <v>2</v>
      </c>
      <c r="F14" s="2">
        <f t="array" ref="F14">(F$12^2+$B14^2)^$L$12+((1-F$12)^2+$B14^2)^$L$12+F24</f>
        <v>10</v>
      </c>
      <c r="G14" s="2">
        <f t="array" ref="G14">(G$12^2+$B14^2)^$L$12+((1-G$12)^2+$B14^2)^$L$12+G24</f>
        <v>27</v>
      </c>
      <c r="H14" s="2">
        <f t="array" ref="H14">(H$12^2+$B14^2)^$L$12+((1-H$12)^2+$B14^2)^$L$12+H24</f>
        <v>43</v>
      </c>
      <c r="I14" s="2">
        <f t="array" ref="I14">(I$12^2+$B14^2)^$L$12+((1-I$12)^2+$B14^2)^$L$12+I24</f>
        <v>63</v>
      </c>
      <c r="J14" s="2">
        <f t="array" ref="J14">(J$12^2+$B14^2)^$L$12+((1-J$12)^2+$B14^2)^$L$12+J24</f>
        <v>87</v>
      </c>
      <c r="L14" t="str">
        <f t="shared" si="2"/>
        <v>[-2,-2,2,10,27,43,63,87],</v>
      </c>
    </row>
    <row r="15" spans="2:12" ht="18" customHeight="1" x14ac:dyDescent="0.25">
      <c r="B15">
        <v>2</v>
      </c>
      <c r="C15" s="2">
        <f t="array" ref="C15">(C$12^2+$B15^2)^$L$12+((1-C$12)^2+$B15^2)^$L$12+C25</f>
        <v>4</v>
      </c>
      <c r="D15" s="2">
        <f t="array" ref="D15">(D$12^2+$B15^2)^$L$12+((1-D$12)^2+$B15^2)^$L$12+D25</f>
        <v>4</v>
      </c>
      <c r="E15" s="2">
        <f t="array" ref="E15">(E$12^2+$B15^2)^$L$12+((1-E$12)^2+$B15^2)^$L$12+E25</f>
        <v>8</v>
      </c>
      <c r="F15" s="2">
        <f t="array" ref="F15">(F$12^2+$B15^2)^$L$12+((1-F$12)^2+$B15^2)^$L$12+F25</f>
        <v>16</v>
      </c>
      <c r="G15" s="2">
        <f t="array" ref="G15">(G$12^2+$B15^2)^$L$12+((1-G$12)^2+$B15^2)^$L$12+G25</f>
        <v>33</v>
      </c>
      <c r="H15" s="2">
        <f t="array" ref="H15">(H$12^2+$B15^2)^$L$12+((1-H$12)^2+$B15^2)^$L$12+H25</f>
        <v>49</v>
      </c>
      <c r="I15" s="2">
        <f t="array" ref="I15">(I$12^2+$B15^2)^$L$12+((1-I$12)^2+$B15^2)^$L$12+I25</f>
        <v>69</v>
      </c>
      <c r="J15" s="2">
        <f t="array" ref="J15">(J$12^2+$B15^2)^$L$12+((1-J$12)^2+$B15^2)^$L$12+J25</f>
        <v>93</v>
      </c>
      <c r="L15" t="str">
        <f t="shared" si="2"/>
        <v>[4,4,8,16,33,49,69,93],</v>
      </c>
    </row>
    <row r="16" spans="2:12" ht="18" customHeight="1" x14ac:dyDescent="0.25">
      <c r="B16">
        <v>3</v>
      </c>
      <c r="C16" s="2">
        <f t="array" ref="C16">(C$12^2+$B16^2)^$L$12+((1-C$12)^2+$B16^2)^$L$12+C26</f>
        <v>19</v>
      </c>
      <c r="D16" s="2">
        <f t="array" ref="D16">(D$12^2+$B16^2)^$L$12+((1-D$12)^2+$B16^2)^$L$12+D26</f>
        <v>19</v>
      </c>
      <c r="E16" s="2">
        <f t="array" ref="E16">(E$12^2+$B16^2)^$L$12+((1-E$12)^2+$B16^2)^$L$12+E26</f>
        <v>23</v>
      </c>
      <c r="F16" s="2">
        <f t="array" ref="F16">(F$12^2+$B16^2)^$L$12+((1-F$12)^2+$B16^2)^$L$12+F26</f>
        <v>31</v>
      </c>
      <c r="G16" s="2">
        <f t="array" ref="G16">(G$12^2+$B16^2)^$L$12+((1-G$12)^2+$B16^2)^$L$12+G26</f>
        <v>43</v>
      </c>
      <c r="H16" s="2">
        <f t="array" ref="H16">(H$12^2+$B16^2)^$L$12+((1-H$12)^2+$B16^2)^$L$12+H26</f>
        <v>59</v>
      </c>
      <c r="I16" s="2">
        <f t="array" ref="I16">(I$12^2+$B16^2)^$L$12+((1-I$12)^2+$B16^2)^$L$12+I26</f>
        <v>79</v>
      </c>
      <c r="J16" s="2">
        <f t="array" ref="J16">(J$12^2+$B16^2)^$L$12+((1-J$12)^2+$B16^2)^$L$12+J26</f>
        <v>103</v>
      </c>
      <c r="L16" t="str">
        <f t="shared" si="2"/>
        <v>[19,19,23,31,43,59,79,103],</v>
      </c>
    </row>
    <row r="17" spans="2:13" ht="18" customHeight="1" x14ac:dyDescent="0.25">
      <c r="B17">
        <v>4</v>
      </c>
      <c r="C17" s="2">
        <f t="array" ref="C17">(C$12^2+$B17^2)^$L$12+((1-C$12)^2+$B17^2)^$L$12+C27</f>
        <v>33</v>
      </c>
      <c r="D17" s="2">
        <f t="array" ref="D17">(D$12^2+$B17^2)^$L$12+((1-D$12)^2+$B17^2)^$L$12+D27</f>
        <v>33</v>
      </c>
      <c r="E17" s="2">
        <f t="array" ref="E17">(E$12^2+$B17^2)^$L$12+((1-E$12)^2+$B17^2)^$L$12+E27</f>
        <v>37</v>
      </c>
      <c r="F17" s="2">
        <f t="array" ref="F17">(F$12^2+$B17^2)^$L$12+((1-F$12)^2+$B17^2)^$L$12+F27</f>
        <v>45</v>
      </c>
      <c r="G17" s="2">
        <f t="array" ref="G17">(G$12^2+$B17^2)^$L$12+((1-G$12)^2+$B17^2)^$L$12+G27</f>
        <v>57</v>
      </c>
      <c r="H17" s="2">
        <f t="array" ref="H17">(H$12^2+$B17^2)^$L$12+((1-H$12)^2+$B17^2)^$L$12+H27</f>
        <v>73</v>
      </c>
      <c r="I17" s="2">
        <f t="array" ref="I17">(I$12^2+$B17^2)^$L$12+((1-I$12)^2+$B17^2)^$L$12+I27</f>
        <v>93</v>
      </c>
      <c r="J17" s="2">
        <f t="array" ref="J17">(J$12^2+$B17^2)^$L$12+((1-J$12)^2+$B17^2)^$L$12+J27</f>
        <v>117</v>
      </c>
      <c r="L17" t="str">
        <f t="shared" si="2"/>
        <v>[33,33,37,45,57,73,93,117],</v>
      </c>
    </row>
    <row r="18" spans="2:13" ht="18" customHeight="1" x14ac:dyDescent="0.25">
      <c r="B18">
        <v>5</v>
      </c>
      <c r="C18" s="2">
        <f t="array" ref="C18">(C$12^2+$B18^2)^$L$12+((1-C$12)^2+$B18^2)^$L$12+C28</f>
        <v>51</v>
      </c>
      <c r="D18" s="2">
        <f t="array" ref="D18">(D$12^2+$B18^2)^$L$12+((1-D$12)^2+$B18^2)^$L$12+D28</f>
        <v>51</v>
      </c>
      <c r="E18" s="2">
        <f t="array" ref="E18">(E$12^2+$B18^2)^$L$12+((1-E$12)^2+$B18^2)^$L$12+E28</f>
        <v>55</v>
      </c>
      <c r="F18" s="2">
        <f t="array" ref="F18">(F$12^2+$B18^2)^$L$12+((1-F$12)^2+$B18^2)^$L$12+F28</f>
        <v>63</v>
      </c>
      <c r="G18" s="2">
        <f t="array" ref="G18">(G$12^2+$B18^2)^$L$12+((1-G$12)^2+$B18^2)^$L$12+G28</f>
        <v>75</v>
      </c>
      <c r="H18" s="2">
        <f t="array" ref="H18">(H$12^2+$B18^2)^$L$12+((1-H$12)^2+$B18^2)^$L$12+H28</f>
        <v>91</v>
      </c>
      <c r="I18" s="2">
        <f t="array" ref="I18">(I$12^2+$B18^2)^$L$12+((1-I$12)^2+$B18^2)^$L$12+I28</f>
        <v>111</v>
      </c>
      <c r="J18" s="2">
        <f t="array" ref="J18">(J$12^2+$B18^2)^$L$12+((1-J$12)^2+$B18^2)^$L$12+J28</f>
        <v>135</v>
      </c>
      <c r="L18" t="str">
        <f t="shared" si="2"/>
        <v>[51,51,55,63,75,91,111,135],</v>
      </c>
    </row>
    <row r="19" spans="2:13" ht="18" customHeight="1" x14ac:dyDescent="0.25">
      <c r="B19">
        <v>6</v>
      </c>
      <c r="C19" s="2">
        <f t="array" ref="C19">(C$12^2+$B19^2)^$L$12+((1-C$12)^2+$B19^2)^$L$12+C29</f>
        <v>73</v>
      </c>
      <c r="D19" s="2">
        <f t="array" ref="D19">(D$12^2+$B19^2)^$L$12+((1-D$12)^2+$B19^2)^$L$12+D29</f>
        <v>73</v>
      </c>
      <c r="E19" s="2">
        <f t="array" ref="E19">(E$12^2+$B19^2)^$L$12+((1-E$12)^2+$B19^2)^$L$12+E29</f>
        <v>77</v>
      </c>
      <c r="F19" s="2">
        <f t="array" ref="F19">(F$12^2+$B19^2)^$L$12+((1-F$12)^2+$B19^2)^$L$12+F29</f>
        <v>85</v>
      </c>
      <c r="G19" s="2">
        <f t="array" ref="G19">(G$12^2+$B19^2)^$L$12+((1-G$12)^2+$B19^2)^$L$12+G29</f>
        <v>97</v>
      </c>
      <c r="H19" s="2">
        <f t="array" ref="H19">(H$12^2+$B19^2)^$L$12+((1-H$12)^2+$B19^2)^$L$12+H29</f>
        <v>113</v>
      </c>
      <c r="I19" s="2">
        <f t="array" ref="I19">(I$12^2+$B19^2)^$L$12+((1-I$12)^2+$B19^2)^$L$12+I29</f>
        <v>133</v>
      </c>
      <c r="J19" s="2">
        <f t="array" ref="J19">(J$12^2+$B19^2)^$L$12+((1-J$12)^2+$B19^2)^$L$12+J29</f>
        <v>157</v>
      </c>
      <c r="L19" t="str">
        <f t="shared" si="2"/>
        <v>[73,73,77,85,97,113,133,157],</v>
      </c>
    </row>
    <row r="20" spans="2:13" ht="18" customHeight="1" x14ac:dyDescent="0.25">
      <c r="B20">
        <v>7</v>
      </c>
      <c r="C20" s="2">
        <f t="array" ref="C20">(C$12^2+$B20^2)^$L$12+((1-C$12)^2+$B20^2)^$L$12+C30</f>
        <v>99</v>
      </c>
      <c r="D20" s="2">
        <f t="array" ref="D20">(D$12^2+$B20^2)^$L$12+((1-D$12)^2+$B20^2)^$L$12+D30</f>
        <v>99</v>
      </c>
      <c r="E20" s="2">
        <f t="array" ref="E20">(E$12^2+$B20^2)^$L$12+((1-E$12)^2+$B20^2)^$L$12+E30</f>
        <v>103</v>
      </c>
      <c r="F20" s="2">
        <f t="array" ref="F20">(F$12^2+$B20^2)^$L$12+((1-F$12)^2+$B20^2)^$L$12+F30</f>
        <v>111</v>
      </c>
      <c r="G20" s="2">
        <f t="array" ref="G20">(G$12^2+$B20^2)^$L$12+((1-G$12)^2+$B20^2)^$L$12+G30</f>
        <v>123</v>
      </c>
      <c r="H20" s="2">
        <f t="array" ref="H20">(H$12^2+$B20^2)^$L$12+((1-H$12)^2+$B20^2)^$L$12+H30</f>
        <v>139</v>
      </c>
      <c r="I20" s="2">
        <f t="array" ref="I20">(I$12^2+$B20^2)^$L$12+((1-I$12)^2+$B20^2)^$L$12+I30</f>
        <v>159</v>
      </c>
      <c r="J20" s="2">
        <f t="array" ref="J20">(J$12^2+$B20^2)^$L$12+((1-J$12)^2+$B20^2)^$L$12+J30</f>
        <v>183</v>
      </c>
      <c r="L20" t="str">
        <f>"["&amp;C20&amp;","&amp;D20&amp;","&amp;E20&amp;","&amp;F20&amp;","&amp;G20&amp;","&amp;H20&amp;","&amp;I20&amp;","&amp;J20&amp;"]"</f>
        <v>[99,99,103,111,123,139,159,183]</v>
      </c>
      <c r="M20" t="str">
        <f>"bad_1:["&amp;CONCATENATE(L13,L14,L15,L16,L17,L18,L19,L20)&amp;"],"</f>
        <v>bad_1:[[-4,-4,0,8,25,41,61,85],[-2,-2,2,10,27,43,63,87],[4,4,8,16,33,49,69,93],[19,19,23,31,43,59,79,103],[33,33,37,45,57,73,93,117],[51,51,55,63,75,91,111,135],[73,73,77,85,97,113,133,157],[99,99,103,111,123,139,159,183]],</v>
      </c>
    </row>
    <row r="23" spans="2:13" x14ac:dyDescent="0.25">
      <c r="C23" s="2">
        <v>-5</v>
      </c>
      <c r="D23" s="2">
        <v>-5</v>
      </c>
      <c r="E23" s="2">
        <v>-5</v>
      </c>
      <c r="F23" s="2">
        <v>-5</v>
      </c>
      <c r="G23" s="2"/>
      <c r="H23" s="2"/>
      <c r="I23" s="2"/>
      <c r="J23" s="2"/>
      <c r="L23" t="str">
        <f t="shared" ref="L23:L29" si="3">"["&amp;C23&amp;","&amp;D23&amp;","&amp;E23&amp;","&amp;F23&amp;","&amp;G23&amp;","&amp;H23&amp;","&amp;I23&amp;","&amp;J23&amp;"],"</f>
        <v>[-5,-5,-5,-5,,,,],</v>
      </c>
    </row>
    <row r="24" spans="2:13" x14ac:dyDescent="0.25">
      <c r="C24" s="2">
        <v>-5</v>
      </c>
      <c r="D24" s="2">
        <v>-5</v>
      </c>
      <c r="E24" s="2">
        <v>-5</v>
      </c>
      <c r="F24" s="2">
        <v>-5</v>
      </c>
      <c r="G24" s="2"/>
      <c r="H24" s="2"/>
      <c r="I24" s="2"/>
      <c r="J24" s="2"/>
      <c r="L24" t="str">
        <f t="shared" si="3"/>
        <v>[-5,-5,-5,-5,,,,],</v>
      </c>
    </row>
    <row r="25" spans="2:13" x14ac:dyDescent="0.25">
      <c r="C25" s="2">
        <v>-5</v>
      </c>
      <c r="D25" s="2">
        <v>-5</v>
      </c>
      <c r="E25" s="2">
        <v>-5</v>
      </c>
      <c r="F25" s="2">
        <v>-5</v>
      </c>
      <c r="G25" s="2"/>
      <c r="H25" s="2"/>
      <c r="I25" s="2"/>
      <c r="J25" s="2"/>
      <c r="L25" t="str">
        <f t="shared" si="3"/>
        <v>[-5,-5,-5,-5,,,,],</v>
      </c>
    </row>
    <row r="26" spans="2:13" x14ac:dyDescent="0.25">
      <c r="C26" s="2"/>
      <c r="D26" s="2"/>
      <c r="E26" s="2"/>
      <c r="F26" s="2"/>
      <c r="G26" s="2"/>
      <c r="H26" s="2"/>
      <c r="I26" s="2"/>
      <c r="J26" s="2"/>
      <c r="L26" t="str">
        <f t="shared" si="3"/>
        <v>[,,,,,,,],</v>
      </c>
    </row>
    <row r="27" spans="2:13" x14ac:dyDescent="0.25">
      <c r="C27" s="2"/>
      <c r="D27" s="2"/>
      <c r="E27" s="2"/>
      <c r="F27" s="2"/>
      <c r="G27" s="2"/>
      <c r="H27" s="2"/>
      <c r="I27" s="2"/>
      <c r="J27" s="2"/>
      <c r="L27" t="str">
        <f t="shared" si="3"/>
        <v>[,,,,,,,],</v>
      </c>
    </row>
    <row r="28" spans="2:13" x14ac:dyDescent="0.25">
      <c r="C28" s="2"/>
      <c r="D28" s="2"/>
      <c r="E28" s="2"/>
      <c r="F28" s="2"/>
      <c r="G28" s="2"/>
      <c r="H28" s="2"/>
      <c r="I28" s="2"/>
      <c r="J28" s="2"/>
      <c r="L28" t="str">
        <f t="shared" si="3"/>
        <v>[,,,,,,,],</v>
      </c>
    </row>
    <row r="29" spans="2:13" x14ac:dyDescent="0.25">
      <c r="C29" s="2"/>
      <c r="D29" s="2"/>
      <c r="E29" s="2"/>
      <c r="F29" s="2"/>
      <c r="G29" s="2"/>
      <c r="H29" s="2"/>
      <c r="I29" s="2"/>
      <c r="J29" s="2"/>
      <c r="L29" t="str">
        <f t="shared" si="3"/>
        <v>[,,,,,,,],</v>
      </c>
    </row>
    <row r="30" spans="2:13" x14ac:dyDescent="0.25">
      <c r="C30" s="2"/>
      <c r="D30" s="2"/>
      <c r="E30" s="2"/>
      <c r="F30" s="2"/>
      <c r="G30" s="2"/>
      <c r="H30" s="2"/>
      <c r="I30" s="2"/>
      <c r="J30" s="2"/>
      <c r="L30" t="str">
        <f>"["&amp;C30&amp;","&amp;D30&amp;","&amp;E30&amp;","&amp;F30&amp;","&amp;G30&amp;","&amp;H30&amp;","&amp;I30&amp;","&amp;J30&amp;"]"</f>
        <v>[,,,,,,,]</v>
      </c>
    </row>
    <row r="32" spans="2:13" x14ac:dyDescent="0.25">
      <c r="C32">
        <v>24</v>
      </c>
      <c r="D32">
        <v>22</v>
      </c>
      <c r="E32">
        <v>21</v>
      </c>
      <c r="F32">
        <v>20</v>
      </c>
      <c r="G32">
        <v>0</v>
      </c>
      <c r="H32">
        <v>0</v>
      </c>
      <c r="I32">
        <v>0</v>
      </c>
      <c r="J32">
        <v>0</v>
      </c>
    </row>
    <row r="33" spans="2:25" x14ac:dyDescent="0.25">
      <c r="C33">
        <v>22</v>
      </c>
      <c r="D33">
        <v>21</v>
      </c>
      <c r="E33">
        <v>19</v>
      </c>
      <c r="F33">
        <v>19</v>
      </c>
      <c r="G33">
        <v>9</v>
      </c>
      <c r="H33">
        <v>0</v>
      </c>
      <c r="I33">
        <v>0</v>
      </c>
      <c r="J33">
        <v>0</v>
      </c>
    </row>
    <row r="34" spans="2:25" x14ac:dyDescent="0.25">
      <c r="C34">
        <v>20</v>
      </c>
      <c r="D34">
        <v>19</v>
      </c>
      <c r="E34">
        <v>18</v>
      </c>
      <c r="F34">
        <v>18</v>
      </c>
      <c r="G34">
        <v>18</v>
      </c>
      <c r="H34">
        <v>7</v>
      </c>
      <c r="I34">
        <v>0</v>
      </c>
      <c r="J34">
        <v>0</v>
      </c>
    </row>
    <row r="35" spans="2:25" x14ac:dyDescent="0.25">
      <c r="C35">
        <v>0</v>
      </c>
      <c r="D35">
        <v>19</v>
      </c>
      <c r="E35">
        <v>18</v>
      </c>
      <c r="F35">
        <v>16</v>
      </c>
      <c r="G35">
        <v>16</v>
      </c>
      <c r="H35">
        <v>16</v>
      </c>
      <c r="I35">
        <v>11</v>
      </c>
      <c r="J35">
        <v>0</v>
      </c>
    </row>
    <row r="36" spans="2:25" x14ac:dyDescent="0.25">
      <c r="C36">
        <v>0</v>
      </c>
      <c r="D36">
        <v>0</v>
      </c>
      <c r="E36">
        <v>16</v>
      </c>
      <c r="F36">
        <v>16</v>
      </c>
      <c r="G36">
        <v>12</v>
      </c>
      <c r="H36">
        <v>12</v>
      </c>
      <c r="I36">
        <v>12</v>
      </c>
      <c r="J36">
        <v>5</v>
      </c>
    </row>
    <row r="37" spans="2:25" x14ac:dyDescent="0.25">
      <c r="C37">
        <v>0</v>
      </c>
      <c r="D37">
        <v>0</v>
      </c>
      <c r="E37">
        <v>10</v>
      </c>
      <c r="F37">
        <v>16</v>
      </c>
      <c r="G37">
        <v>12</v>
      </c>
      <c r="H37">
        <v>8</v>
      </c>
      <c r="I37">
        <v>8</v>
      </c>
      <c r="J37">
        <v>6</v>
      </c>
      <c r="R37">
        <v>0</v>
      </c>
      <c r="S37">
        <v>1</v>
      </c>
      <c r="T37">
        <v>2</v>
      </c>
      <c r="U37">
        <v>3</v>
      </c>
      <c r="V37">
        <v>4</v>
      </c>
      <c r="W37">
        <v>5</v>
      </c>
      <c r="X37">
        <v>6</v>
      </c>
      <c r="Y37">
        <v>7</v>
      </c>
    </row>
    <row r="38" spans="2:25" x14ac:dyDescent="0.25">
      <c r="C38">
        <v>0</v>
      </c>
      <c r="D38">
        <v>0</v>
      </c>
      <c r="E38">
        <v>0</v>
      </c>
      <c r="F38">
        <v>9</v>
      </c>
      <c r="G38">
        <v>12</v>
      </c>
      <c r="H38">
        <v>8</v>
      </c>
      <c r="I38">
        <v>5</v>
      </c>
      <c r="J38">
        <v>4</v>
      </c>
      <c r="R38">
        <f>R37^2</f>
        <v>0</v>
      </c>
      <c r="S38">
        <f t="shared" ref="S38:Y38" si="4">S37^2</f>
        <v>1</v>
      </c>
      <c r="T38">
        <f t="shared" si="4"/>
        <v>4</v>
      </c>
      <c r="U38">
        <f t="shared" si="4"/>
        <v>9</v>
      </c>
      <c r="V38">
        <f t="shared" si="4"/>
        <v>16</v>
      </c>
      <c r="W38">
        <f t="shared" si="4"/>
        <v>25</v>
      </c>
      <c r="X38">
        <f t="shared" si="4"/>
        <v>36</v>
      </c>
      <c r="Y38">
        <f t="shared" si="4"/>
        <v>49</v>
      </c>
    </row>
    <row r="39" spans="2:25" x14ac:dyDescent="0.25">
      <c r="C39">
        <v>0</v>
      </c>
      <c r="D39">
        <v>0</v>
      </c>
      <c r="E39">
        <v>0</v>
      </c>
      <c r="F39">
        <v>0</v>
      </c>
      <c r="G39">
        <v>8</v>
      </c>
      <c r="H39">
        <v>7</v>
      </c>
      <c r="I39">
        <v>4</v>
      </c>
      <c r="J39">
        <v>0</v>
      </c>
    </row>
    <row r="40" spans="2:25" x14ac:dyDescent="0.25">
      <c r="C40">
        <v>0</v>
      </c>
      <c r="D40">
        <v>1</v>
      </c>
      <c r="E40">
        <v>2</v>
      </c>
      <c r="F40">
        <v>3</v>
      </c>
      <c r="G40">
        <v>4</v>
      </c>
      <c r="H40">
        <v>5</v>
      </c>
      <c r="I40">
        <v>6</v>
      </c>
      <c r="J40">
        <v>7</v>
      </c>
    </row>
    <row r="41" spans="2:25" x14ac:dyDescent="0.25">
      <c r="B41">
        <v>0</v>
      </c>
      <c r="C41" s="2">
        <v>0</v>
      </c>
      <c r="D41" s="2">
        <v>0</v>
      </c>
      <c r="E41" s="2">
        <v>1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L41" t="str">
        <f t="shared" ref="L41:L47" si="5">"["&amp;C41&amp;","&amp;D41&amp;","&amp;E41&amp;","&amp;F41&amp;","&amp;G41&amp;","&amp;H41&amp;","&amp;I41&amp;","&amp;J41&amp;"],"</f>
        <v>[0,0,1,0,0,0,0,0],</v>
      </c>
    </row>
    <row r="42" spans="2:25" x14ac:dyDescent="0.25">
      <c r="B42">
        <v>1</v>
      </c>
      <c r="C42" s="2">
        <v>0</v>
      </c>
      <c r="D42" s="2">
        <v>0</v>
      </c>
      <c r="E42" s="2">
        <v>1</v>
      </c>
      <c r="F42" s="2">
        <v>0</v>
      </c>
      <c r="G42" s="2">
        <v>1</v>
      </c>
      <c r="H42" s="2">
        <v>1</v>
      </c>
      <c r="I42" s="2">
        <v>0</v>
      </c>
      <c r="J42" s="2">
        <v>0</v>
      </c>
      <c r="L42" t="str">
        <f t="shared" si="5"/>
        <v>[0,0,1,0,1,1,0,0],</v>
      </c>
    </row>
    <row r="43" spans="2:25" x14ac:dyDescent="0.25">
      <c r="B43">
        <v>2</v>
      </c>
      <c r="C43" s="2">
        <v>0</v>
      </c>
      <c r="D43" s="2">
        <v>0</v>
      </c>
      <c r="E43" s="2">
        <v>0</v>
      </c>
      <c r="F43" s="2">
        <v>0</v>
      </c>
      <c r="G43" s="2">
        <v>2</v>
      </c>
      <c r="H43" s="2">
        <v>1</v>
      </c>
      <c r="I43" s="2">
        <v>1</v>
      </c>
      <c r="J43" s="2">
        <v>1</v>
      </c>
      <c r="L43" t="str">
        <f t="shared" si="5"/>
        <v>[0,0,0,0,2,1,1,1],</v>
      </c>
    </row>
    <row r="44" spans="2:25" x14ac:dyDescent="0.25">
      <c r="B44">
        <v>3</v>
      </c>
      <c r="C44" s="2">
        <v>1</v>
      </c>
      <c r="D44" s="2">
        <v>1</v>
      </c>
      <c r="E44" s="2">
        <v>0</v>
      </c>
      <c r="F44" s="2">
        <v>2</v>
      </c>
      <c r="G44" s="2">
        <v>0</v>
      </c>
      <c r="H44" s="2">
        <v>0</v>
      </c>
      <c r="I44" s="2">
        <v>0</v>
      </c>
      <c r="J44" s="2">
        <v>1</v>
      </c>
      <c r="L44" t="str">
        <f t="shared" si="5"/>
        <v>[1,1,0,2,0,0,0,1],</v>
      </c>
    </row>
    <row r="45" spans="2:25" x14ac:dyDescent="0.25">
      <c r="B45">
        <v>4</v>
      </c>
      <c r="C45" s="2">
        <v>0</v>
      </c>
      <c r="D45" s="2">
        <v>0</v>
      </c>
      <c r="E45" s="2">
        <v>2</v>
      </c>
      <c r="F45" s="2">
        <v>2</v>
      </c>
      <c r="G45" s="2">
        <v>0</v>
      </c>
      <c r="H45" s="2">
        <v>2</v>
      </c>
      <c r="I45" s="2">
        <v>0</v>
      </c>
      <c r="J45" s="2">
        <v>0</v>
      </c>
      <c r="L45" t="str">
        <f t="shared" si="5"/>
        <v>[0,0,2,2,0,2,0,0],</v>
      </c>
    </row>
    <row r="46" spans="2:25" x14ac:dyDescent="0.25">
      <c r="B46">
        <v>5</v>
      </c>
      <c r="C46" s="2">
        <v>0</v>
      </c>
      <c r="D46" s="2">
        <v>0</v>
      </c>
      <c r="E46" s="2">
        <v>0</v>
      </c>
      <c r="F46" s="2">
        <v>2</v>
      </c>
      <c r="G46" s="2">
        <v>2</v>
      </c>
      <c r="H46" s="2">
        <v>2</v>
      </c>
      <c r="I46" s="2">
        <v>2</v>
      </c>
      <c r="J46" s="2">
        <v>0</v>
      </c>
      <c r="L46" t="str">
        <f t="shared" si="5"/>
        <v>[0,0,0,2,2,2,2,0],</v>
      </c>
    </row>
    <row r="47" spans="2:25" x14ac:dyDescent="0.25">
      <c r="B47">
        <v>6</v>
      </c>
      <c r="C47" s="2">
        <v>0</v>
      </c>
      <c r="D47" s="2">
        <v>0</v>
      </c>
      <c r="E47" s="2">
        <v>1</v>
      </c>
      <c r="F47" s="2">
        <v>0</v>
      </c>
      <c r="G47" s="2">
        <v>2</v>
      </c>
      <c r="H47" s="2">
        <v>2</v>
      </c>
      <c r="I47" s="2">
        <v>0</v>
      </c>
      <c r="J47" s="2">
        <v>0</v>
      </c>
      <c r="L47" t="str">
        <f t="shared" si="5"/>
        <v>[0,0,1,0,2,2,0,0],</v>
      </c>
    </row>
    <row r="48" spans="2:25" x14ac:dyDescent="0.25">
      <c r="B48">
        <v>7</v>
      </c>
      <c r="C48" s="2">
        <v>0</v>
      </c>
      <c r="D48" s="2">
        <v>0</v>
      </c>
      <c r="E48" s="2">
        <v>1</v>
      </c>
      <c r="F48" s="2">
        <v>0</v>
      </c>
      <c r="G48" s="2">
        <v>0</v>
      </c>
      <c r="H48" s="2">
        <v>0</v>
      </c>
      <c r="I48" s="2">
        <v>2</v>
      </c>
      <c r="J48" s="2">
        <v>0</v>
      </c>
      <c r="L48" t="str">
        <f>"["&amp;C48&amp;","&amp;D48&amp;","&amp;E48&amp;","&amp;F48&amp;","&amp;G48&amp;","&amp;H48&amp;","&amp;I48&amp;","&amp;J48&amp;"]"</f>
        <v>[0,0,1,0,0,0,2,0]</v>
      </c>
      <c r="M48" t="str">
        <f>"["&amp;CONCATENATE(L41,L42,L43,L44,L45,L46,L47,L48)&amp;"]"</f>
        <v>[[0,0,1,0,0,0,0,0],[0,0,1,0,1,1,0,0],[0,0,0,0,2,1,1,1],[1,1,0,2,0,0,0,1],[0,0,2,2,0,2,0,0],[0,0,0,2,2,2,2,0],[0,0,1,0,2,2,0,0],[0,0,1,0,0,0,2,0]]</v>
      </c>
    </row>
    <row r="49" spans="8:12" x14ac:dyDescent="0.25">
      <c r="H49" s="8"/>
    </row>
    <row r="51" spans="8:12" x14ac:dyDescent="0.25">
      <c r="L51">
        <f t="array" ref="L51">SUM((F45:J48)*($F$7:$J$10))/2</f>
        <v>135</v>
      </c>
    </row>
  </sheetData>
  <conditionalFormatting sqref="C3:J10">
    <cfRule type="colorScale" priority="6">
      <colorScale>
        <cfvo type="min"/>
        <cfvo type="max"/>
        <color rgb="FFFCFCFF"/>
        <color rgb="FF63BE7B"/>
      </colorScale>
    </cfRule>
  </conditionalFormatting>
  <conditionalFormatting sqref="C13:J20">
    <cfRule type="colorScale" priority="5">
      <colorScale>
        <cfvo type="min"/>
        <cfvo type="max"/>
        <color rgb="FFFCFCFF"/>
        <color rgb="FFF8696B"/>
      </colorScale>
    </cfRule>
  </conditionalFormatting>
  <conditionalFormatting sqref="C23:J30">
    <cfRule type="colorScale" priority="3">
      <colorScale>
        <cfvo type="min"/>
        <cfvo type="max"/>
        <color rgb="FFFCFCFF"/>
        <color rgb="FFF8696B"/>
      </colorScale>
    </cfRule>
  </conditionalFormatting>
  <conditionalFormatting sqref="C32:J39">
    <cfRule type="colorScale" priority="2">
      <colorScale>
        <cfvo type="min"/>
        <cfvo type="max"/>
        <color rgb="FFFCFCFF"/>
        <color rgb="FFF8696B"/>
      </colorScale>
    </cfRule>
  </conditionalFormatting>
  <conditionalFormatting sqref="C41:J48 H49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B2:R117"/>
  <sheetViews>
    <sheetView topLeftCell="A94" workbookViewId="0">
      <selection activeCell="J106" sqref="J106"/>
    </sheetView>
  </sheetViews>
  <sheetFormatPr defaultColWidth="2.85546875" defaultRowHeight="15" customHeight="1" x14ac:dyDescent="0.25"/>
  <sheetData>
    <row r="2" spans="2:9" ht="15" customHeight="1" x14ac:dyDescent="0.25">
      <c r="B2" s="4">
        <v>2</v>
      </c>
      <c r="C2" s="4">
        <v>1</v>
      </c>
      <c r="D2" s="4">
        <v>1</v>
      </c>
      <c r="E2" s="4"/>
      <c r="F2" s="4"/>
      <c r="G2" s="4"/>
      <c r="H2" s="4"/>
      <c r="I2" s="4"/>
    </row>
    <row r="3" spans="2:9" ht="15" customHeight="1" x14ac:dyDescent="0.25">
      <c r="B3" s="4">
        <v>1</v>
      </c>
      <c r="C3" s="4"/>
      <c r="D3" s="4"/>
      <c r="E3" s="4"/>
      <c r="F3" s="4"/>
      <c r="G3" s="4"/>
      <c r="H3" s="4"/>
      <c r="I3" s="4"/>
    </row>
    <row r="4" spans="2:9" ht="15" customHeight="1" x14ac:dyDescent="0.25">
      <c r="B4" s="4">
        <v>1</v>
      </c>
      <c r="C4" s="4"/>
      <c r="D4" s="4"/>
      <c r="E4" s="4"/>
      <c r="F4" s="4"/>
      <c r="G4" s="4"/>
      <c r="H4" s="4"/>
      <c r="I4" s="4"/>
    </row>
    <row r="5" spans="2:9" ht="15" customHeight="1" x14ac:dyDescent="0.25">
      <c r="B5" s="4"/>
      <c r="C5" s="4"/>
      <c r="D5" s="4"/>
      <c r="E5" s="4"/>
      <c r="F5" s="4"/>
      <c r="G5" s="4"/>
      <c r="H5" s="4"/>
      <c r="I5" s="4"/>
    </row>
    <row r="6" spans="2:9" ht="15" customHeight="1" x14ac:dyDescent="0.25">
      <c r="B6" s="4"/>
      <c r="C6" s="4"/>
      <c r="D6" s="4"/>
      <c r="E6" s="4"/>
      <c r="F6" s="4"/>
      <c r="G6" s="4"/>
      <c r="H6" s="4"/>
      <c r="I6" s="4"/>
    </row>
    <row r="7" spans="2:9" ht="15" customHeight="1" x14ac:dyDescent="0.25">
      <c r="B7" s="4"/>
      <c r="C7" s="4"/>
      <c r="D7" s="4"/>
      <c r="E7" s="4"/>
      <c r="F7" s="4"/>
      <c r="G7" s="4"/>
      <c r="H7" s="4"/>
      <c r="I7" s="4"/>
    </row>
    <row r="8" spans="2:9" ht="15" customHeight="1" x14ac:dyDescent="0.25">
      <c r="B8" s="4"/>
      <c r="C8" s="4"/>
      <c r="D8" s="4"/>
      <c r="E8" s="4"/>
      <c r="F8" s="4"/>
      <c r="G8" s="4"/>
      <c r="H8" s="4"/>
      <c r="I8" s="4"/>
    </row>
    <row r="9" spans="2:9" ht="15" customHeight="1" x14ac:dyDescent="0.25">
      <c r="B9" s="4"/>
      <c r="C9" s="4"/>
      <c r="D9" s="4"/>
      <c r="E9" s="4"/>
      <c r="F9" s="4"/>
      <c r="G9" s="4"/>
      <c r="H9" s="4"/>
      <c r="I9" s="4"/>
    </row>
    <row r="11" spans="2:9" ht="15" customHeight="1" x14ac:dyDescent="0.25">
      <c r="B11" s="4">
        <v>2</v>
      </c>
      <c r="C11" s="4">
        <v>2</v>
      </c>
      <c r="D11" s="4">
        <v>1</v>
      </c>
      <c r="E11" s="4">
        <v>1</v>
      </c>
      <c r="F11" s="4"/>
      <c r="G11" s="4"/>
      <c r="H11" s="4"/>
      <c r="I11" s="4"/>
    </row>
    <row r="12" spans="2:9" ht="15" customHeight="1" x14ac:dyDescent="0.25">
      <c r="B12" s="4">
        <v>2</v>
      </c>
      <c r="C12" s="4"/>
      <c r="D12" s="4"/>
      <c r="E12" s="4"/>
      <c r="F12" s="4"/>
      <c r="G12" s="4"/>
      <c r="H12" s="4"/>
      <c r="I12" s="4"/>
    </row>
    <row r="13" spans="2:9" ht="15" customHeight="1" x14ac:dyDescent="0.25">
      <c r="B13" s="4">
        <v>1</v>
      </c>
      <c r="C13" s="4"/>
      <c r="D13" s="4"/>
      <c r="E13" s="4"/>
      <c r="F13" s="4"/>
      <c r="G13" s="4"/>
      <c r="H13" s="4"/>
      <c r="I13" s="4"/>
    </row>
    <row r="14" spans="2:9" ht="15" customHeight="1" x14ac:dyDescent="0.25">
      <c r="B14" s="4">
        <v>1</v>
      </c>
      <c r="C14" s="4"/>
      <c r="D14" s="4"/>
      <c r="E14" s="4"/>
      <c r="F14" s="4"/>
      <c r="G14" s="4"/>
      <c r="H14" s="4"/>
      <c r="I14" s="4"/>
    </row>
    <row r="15" spans="2:9" ht="15" customHeight="1" x14ac:dyDescent="0.25">
      <c r="B15" s="4"/>
      <c r="C15" s="4"/>
      <c r="D15" s="4"/>
      <c r="E15" s="4"/>
      <c r="F15" s="4"/>
      <c r="G15" s="4"/>
      <c r="H15" s="4"/>
      <c r="I15" s="4"/>
    </row>
    <row r="16" spans="2:9" ht="15" customHeight="1" x14ac:dyDescent="0.25">
      <c r="B16" s="4"/>
      <c r="C16" s="4"/>
      <c r="D16" s="4"/>
      <c r="E16" s="4"/>
      <c r="F16" s="4"/>
      <c r="G16" s="4"/>
      <c r="H16" s="4"/>
      <c r="I16" s="4"/>
    </row>
    <row r="17" spans="2:18" ht="15" customHeight="1" x14ac:dyDescent="0.25">
      <c r="B17" s="4"/>
      <c r="C17" s="4"/>
      <c r="D17" s="4"/>
      <c r="E17" s="4"/>
      <c r="F17" s="4"/>
      <c r="G17" s="4"/>
      <c r="H17" s="4"/>
      <c r="I17" s="4"/>
    </row>
    <row r="18" spans="2:18" ht="15" customHeight="1" x14ac:dyDescent="0.25">
      <c r="B18" s="4"/>
      <c r="C18" s="4"/>
      <c r="D18" s="4"/>
      <c r="E18" s="4"/>
      <c r="F18" s="4"/>
      <c r="G18" s="4"/>
      <c r="H18" s="4"/>
      <c r="I18" s="4"/>
    </row>
    <row r="20" spans="2:18" ht="15" customHeight="1" x14ac:dyDescent="0.25">
      <c r="B20" s="4">
        <v>2</v>
      </c>
      <c r="C20" s="4">
        <v>1</v>
      </c>
      <c r="D20" s="4">
        <v>2</v>
      </c>
      <c r="E20" s="4"/>
      <c r="F20" s="4"/>
      <c r="G20" s="4"/>
      <c r="H20" s="4"/>
      <c r="I20" s="4"/>
    </row>
    <row r="21" spans="2:18" ht="15" customHeight="1" x14ac:dyDescent="0.25">
      <c r="B21" s="4">
        <v>1</v>
      </c>
      <c r="C21" s="4"/>
      <c r="D21" s="4">
        <v>1</v>
      </c>
      <c r="E21" s="4"/>
      <c r="F21" s="4"/>
      <c r="G21" s="4"/>
      <c r="H21" s="4"/>
      <c r="I21" s="4"/>
    </row>
    <row r="22" spans="2:18" ht="15" customHeight="1" x14ac:dyDescent="0.25">
      <c r="B22" s="4">
        <v>2</v>
      </c>
      <c r="C22" s="4">
        <v>1</v>
      </c>
      <c r="D22" s="4"/>
      <c r="E22" s="4"/>
      <c r="F22" s="4"/>
      <c r="G22" s="4"/>
      <c r="H22" s="4"/>
      <c r="I22" s="4"/>
    </row>
    <row r="23" spans="2:18" ht="15" customHeight="1" x14ac:dyDescent="0.25">
      <c r="B23" s="4"/>
      <c r="C23" s="4"/>
      <c r="D23" s="4"/>
      <c r="E23" s="4"/>
      <c r="F23" s="4"/>
      <c r="G23" s="4"/>
      <c r="H23" s="4"/>
      <c r="I23" s="4"/>
    </row>
    <row r="24" spans="2:18" ht="15" customHeight="1" x14ac:dyDescent="0.25">
      <c r="B24" s="4"/>
      <c r="C24" s="4"/>
      <c r="D24" s="4"/>
      <c r="E24" s="4"/>
      <c r="F24" s="4"/>
      <c r="G24" s="4"/>
      <c r="H24" s="4"/>
      <c r="I24" s="4"/>
    </row>
    <row r="25" spans="2:18" ht="15" customHeight="1" x14ac:dyDescent="0.25">
      <c r="B25" s="4"/>
      <c r="C25" s="4"/>
      <c r="D25" s="4"/>
      <c r="E25" s="4"/>
      <c r="F25" s="4"/>
      <c r="G25" s="4"/>
      <c r="H25" s="4"/>
      <c r="I25" s="4"/>
    </row>
    <row r="26" spans="2:18" ht="15" customHeight="1" x14ac:dyDescent="0.25">
      <c r="B26" s="4"/>
      <c r="C26" s="4"/>
      <c r="D26" s="4"/>
      <c r="E26" s="4"/>
      <c r="F26" s="4"/>
      <c r="G26" s="4"/>
      <c r="H26" s="4"/>
      <c r="I26" s="4"/>
    </row>
    <row r="27" spans="2:18" ht="15" customHeight="1" x14ac:dyDescent="0.25">
      <c r="B27" s="4"/>
      <c r="C27" s="4"/>
      <c r="D27" s="4"/>
      <c r="E27" s="4"/>
      <c r="F27" s="4"/>
      <c r="G27" s="4"/>
      <c r="H27" s="4"/>
      <c r="I27" s="4"/>
    </row>
    <row r="29" spans="2:18" ht="15" customHeight="1" x14ac:dyDescent="0.25">
      <c r="B29" s="4">
        <v>2</v>
      </c>
      <c r="C29" s="4">
        <v>1</v>
      </c>
      <c r="D29" s="4">
        <v>2</v>
      </c>
      <c r="E29" s="4">
        <v>1</v>
      </c>
      <c r="F29" s="4"/>
      <c r="G29" s="4"/>
      <c r="H29" s="4"/>
      <c r="I29" s="4"/>
      <c r="K29" s="4">
        <v>2</v>
      </c>
      <c r="L29" s="4">
        <v>2</v>
      </c>
      <c r="M29" s="4">
        <v>1</v>
      </c>
      <c r="N29" s="4">
        <v>1</v>
      </c>
      <c r="O29" s="4"/>
      <c r="P29" s="4"/>
      <c r="Q29" s="4"/>
      <c r="R29" s="4"/>
    </row>
    <row r="30" spans="2:18" ht="15" customHeight="1" x14ac:dyDescent="0.25">
      <c r="B30" s="4">
        <v>2</v>
      </c>
      <c r="C30" s="4"/>
      <c r="D30" s="4"/>
      <c r="E30" s="4"/>
      <c r="F30" s="4"/>
      <c r="G30" s="4"/>
      <c r="H30" s="4"/>
      <c r="I30" s="4"/>
      <c r="K30" s="4">
        <v>1</v>
      </c>
      <c r="L30" s="4"/>
      <c r="M30" s="4"/>
      <c r="N30" s="4"/>
      <c r="O30" s="4"/>
      <c r="P30" s="4"/>
      <c r="Q30" s="4"/>
      <c r="R30" s="4"/>
    </row>
    <row r="31" spans="2:18" ht="15" customHeight="1" x14ac:dyDescent="0.25">
      <c r="B31" s="4">
        <v>1</v>
      </c>
      <c r="C31" s="4"/>
      <c r="D31" s="4"/>
      <c r="E31" s="4"/>
      <c r="F31" s="4"/>
      <c r="G31" s="4"/>
      <c r="H31" s="4"/>
      <c r="I31" s="4"/>
      <c r="K31" s="4">
        <v>2</v>
      </c>
      <c r="L31" s="4"/>
      <c r="M31" s="4"/>
      <c r="N31" s="4"/>
      <c r="O31" s="4"/>
      <c r="P31" s="4"/>
      <c r="Q31" s="4"/>
      <c r="R31" s="4"/>
    </row>
    <row r="32" spans="2:18" ht="15" customHeight="1" x14ac:dyDescent="0.25">
      <c r="B32" s="4">
        <v>1</v>
      </c>
      <c r="C32" s="4"/>
      <c r="D32" s="4"/>
      <c r="E32" s="4"/>
      <c r="F32" s="4"/>
      <c r="G32" s="4"/>
      <c r="H32" s="4"/>
      <c r="I32" s="4"/>
      <c r="K32" s="4">
        <v>1</v>
      </c>
      <c r="L32" s="4"/>
      <c r="M32" s="4"/>
      <c r="N32" s="4"/>
      <c r="O32" s="4"/>
      <c r="P32" s="4"/>
      <c r="Q32" s="4"/>
      <c r="R32" s="4"/>
    </row>
    <row r="33" spans="2:18" ht="15" customHeight="1" x14ac:dyDescent="0.25">
      <c r="B33" s="4"/>
      <c r="C33" s="4"/>
      <c r="D33" s="4"/>
      <c r="E33" s="4"/>
      <c r="F33" s="4"/>
      <c r="G33" s="4"/>
      <c r="H33" s="4"/>
      <c r="I33" s="4"/>
      <c r="K33" s="4"/>
      <c r="L33" s="4"/>
      <c r="M33" s="4"/>
      <c r="N33" s="4"/>
      <c r="O33" s="4"/>
      <c r="P33" s="4"/>
      <c r="Q33" s="4"/>
      <c r="R33" s="4"/>
    </row>
    <row r="34" spans="2:18" ht="15" customHeight="1" x14ac:dyDescent="0.25">
      <c r="B34" s="4"/>
      <c r="C34" s="4"/>
      <c r="D34" s="4"/>
      <c r="E34" s="4"/>
      <c r="F34" s="4"/>
      <c r="G34" s="4"/>
      <c r="H34" s="4"/>
      <c r="I34" s="4"/>
      <c r="K34" s="4"/>
      <c r="L34" s="4"/>
      <c r="M34" s="4"/>
      <c r="N34" s="4"/>
      <c r="O34" s="4"/>
      <c r="P34" s="4"/>
      <c r="Q34" s="4"/>
      <c r="R34" s="4"/>
    </row>
    <row r="35" spans="2:18" ht="15" customHeight="1" x14ac:dyDescent="0.25">
      <c r="B35" s="4"/>
      <c r="C35" s="4"/>
      <c r="D35" s="4"/>
      <c r="E35" s="4"/>
      <c r="F35" s="4"/>
      <c r="G35" s="4"/>
      <c r="H35" s="4"/>
      <c r="I35" s="4"/>
      <c r="K35" s="4"/>
      <c r="L35" s="4"/>
      <c r="M35" s="4"/>
      <c r="N35" s="4"/>
      <c r="O35" s="4"/>
      <c r="P35" s="4"/>
      <c r="Q35" s="4"/>
      <c r="R35" s="4"/>
    </row>
    <row r="36" spans="2:18" ht="15" customHeight="1" x14ac:dyDescent="0.25">
      <c r="B36" s="4"/>
      <c r="C36" s="4"/>
      <c r="D36" s="4"/>
      <c r="E36" s="4"/>
      <c r="F36" s="4"/>
      <c r="G36" s="4"/>
      <c r="H36" s="4"/>
      <c r="I36" s="4"/>
      <c r="K36" s="4"/>
      <c r="L36" s="4"/>
      <c r="M36" s="4"/>
      <c r="N36" s="4"/>
      <c r="O36" s="4"/>
      <c r="P36" s="4"/>
      <c r="Q36" s="4"/>
      <c r="R36" s="4"/>
    </row>
    <row r="38" spans="2:18" ht="15" customHeight="1" x14ac:dyDescent="0.25">
      <c r="B38" s="4">
        <v>2</v>
      </c>
      <c r="C38" s="4">
        <v>1</v>
      </c>
      <c r="D38" s="4">
        <v>2</v>
      </c>
      <c r="E38" s="4"/>
      <c r="F38" s="4"/>
      <c r="G38" s="4"/>
      <c r="H38" s="4"/>
      <c r="I38" s="4"/>
      <c r="K38" s="4">
        <v>2</v>
      </c>
      <c r="L38" s="4">
        <v>2</v>
      </c>
      <c r="M38" s="4">
        <v>1</v>
      </c>
      <c r="N38" s="4">
        <v>1</v>
      </c>
      <c r="O38" s="4"/>
      <c r="P38" s="4"/>
      <c r="Q38" s="4"/>
      <c r="R38" s="4"/>
    </row>
    <row r="39" spans="2:18" ht="15" customHeight="1" x14ac:dyDescent="0.25">
      <c r="B39" s="4">
        <v>2</v>
      </c>
      <c r="C39" s="4"/>
      <c r="D39" s="4">
        <v>1</v>
      </c>
      <c r="E39" s="4"/>
      <c r="F39" s="4"/>
      <c r="G39" s="4"/>
      <c r="H39" s="4"/>
      <c r="I39" s="4"/>
      <c r="K39" s="4">
        <v>1</v>
      </c>
      <c r="L39" s="4"/>
      <c r="M39" s="4"/>
      <c r="N39" s="4"/>
      <c r="O39" s="4"/>
      <c r="P39" s="4"/>
      <c r="Q39" s="4"/>
      <c r="R39" s="4"/>
    </row>
    <row r="40" spans="2:18" ht="15" customHeight="1" x14ac:dyDescent="0.25">
      <c r="B40" s="4">
        <v>1</v>
      </c>
      <c r="C40" s="4"/>
      <c r="D40" s="4"/>
      <c r="E40" s="4"/>
      <c r="F40" s="4"/>
      <c r="G40" s="4"/>
      <c r="H40" s="4"/>
      <c r="I40" s="4"/>
      <c r="K40" s="4">
        <v>2</v>
      </c>
      <c r="L40" s="4">
        <v>1</v>
      </c>
      <c r="M40" s="4"/>
      <c r="N40" s="4"/>
      <c r="O40" s="4"/>
      <c r="P40" s="4"/>
      <c r="Q40" s="4"/>
      <c r="R40" s="4"/>
    </row>
    <row r="41" spans="2:18" ht="15" customHeight="1" x14ac:dyDescent="0.25">
      <c r="B41" s="4">
        <v>1</v>
      </c>
      <c r="C41" s="4"/>
      <c r="D41" s="4"/>
      <c r="E41" s="4"/>
      <c r="F41" s="4"/>
      <c r="G41" s="4"/>
      <c r="H41" s="4"/>
      <c r="I41" s="4"/>
      <c r="K41" s="4"/>
      <c r="L41" s="4"/>
      <c r="M41" s="4"/>
      <c r="N41" s="4"/>
      <c r="O41" s="4"/>
      <c r="P41" s="4"/>
      <c r="Q41" s="4"/>
      <c r="R41" s="4"/>
    </row>
    <row r="42" spans="2:18" ht="15" customHeight="1" x14ac:dyDescent="0.25">
      <c r="B42" s="4"/>
      <c r="C42" s="4"/>
      <c r="D42" s="4"/>
      <c r="E42" s="4"/>
      <c r="F42" s="4"/>
      <c r="G42" s="4"/>
      <c r="H42" s="4"/>
      <c r="I42" s="4"/>
      <c r="K42" s="4"/>
      <c r="L42" s="4"/>
      <c r="M42" s="4"/>
      <c r="N42" s="4"/>
      <c r="O42" s="4"/>
      <c r="P42" s="4"/>
      <c r="Q42" s="4"/>
      <c r="R42" s="4"/>
    </row>
    <row r="43" spans="2:18" ht="15" customHeight="1" x14ac:dyDescent="0.25">
      <c r="B43" s="4"/>
      <c r="C43" s="4"/>
      <c r="D43" s="4"/>
      <c r="E43" s="4"/>
      <c r="F43" s="4"/>
      <c r="G43" s="4"/>
      <c r="H43" s="4"/>
      <c r="I43" s="4"/>
      <c r="K43" s="4"/>
      <c r="L43" s="4"/>
      <c r="M43" s="4"/>
      <c r="N43" s="4"/>
      <c r="O43" s="4"/>
      <c r="P43" s="4"/>
      <c r="Q43" s="4"/>
      <c r="R43" s="4"/>
    </row>
    <row r="44" spans="2:18" ht="15" customHeight="1" x14ac:dyDescent="0.25">
      <c r="B44" s="4"/>
      <c r="C44" s="4"/>
      <c r="D44" s="4"/>
      <c r="E44" s="4"/>
      <c r="F44" s="4"/>
      <c r="G44" s="4"/>
      <c r="H44" s="4"/>
      <c r="I44" s="4"/>
      <c r="K44" s="4"/>
      <c r="L44" s="4"/>
      <c r="M44" s="4"/>
      <c r="N44" s="4"/>
      <c r="O44" s="4"/>
      <c r="P44" s="4"/>
      <c r="Q44" s="4"/>
      <c r="R44" s="4"/>
    </row>
    <row r="45" spans="2:18" ht="15" customHeight="1" x14ac:dyDescent="0.25">
      <c r="B45" s="4"/>
      <c r="C45" s="4"/>
      <c r="D45" s="4"/>
      <c r="E45" s="4"/>
      <c r="F45" s="4"/>
      <c r="G45" s="4"/>
      <c r="H45" s="4"/>
      <c r="I45" s="4"/>
      <c r="K45" s="4"/>
      <c r="L45" s="4"/>
      <c r="M45" s="4"/>
      <c r="N45" s="4"/>
      <c r="O45" s="4"/>
      <c r="P45" s="4"/>
      <c r="Q45" s="4"/>
      <c r="R45" s="4"/>
    </row>
    <row r="47" spans="2:18" ht="15" customHeight="1" x14ac:dyDescent="0.25">
      <c r="B47" s="4">
        <v>2</v>
      </c>
      <c r="C47" s="4">
        <v>1</v>
      </c>
      <c r="D47" s="4">
        <v>1</v>
      </c>
      <c r="E47" s="4"/>
      <c r="F47" s="4"/>
      <c r="G47" s="4"/>
      <c r="H47" s="4"/>
      <c r="I47" s="4"/>
      <c r="K47" s="4">
        <v>2</v>
      </c>
      <c r="L47" s="4">
        <v>1</v>
      </c>
      <c r="M47" s="4">
        <v>2</v>
      </c>
      <c r="N47" s="4"/>
      <c r="O47" s="4"/>
      <c r="P47" s="4"/>
      <c r="Q47" s="4"/>
      <c r="R47" s="4"/>
    </row>
    <row r="48" spans="2:18" ht="15" customHeight="1" x14ac:dyDescent="0.25">
      <c r="B48" s="4">
        <v>1</v>
      </c>
      <c r="C48" s="4"/>
      <c r="D48" s="4"/>
      <c r="E48" s="4"/>
      <c r="F48" s="4"/>
      <c r="G48" s="4"/>
      <c r="H48" s="4"/>
      <c r="I48" s="4"/>
      <c r="K48" s="4">
        <v>1</v>
      </c>
      <c r="L48" s="4"/>
      <c r="M48" s="4">
        <v>1</v>
      </c>
      <c r="N48" s="4"/>
      <c r="O48" s="4"/>
      <c r="P48" s="4"/>
      <c r="Q48" s="4"/>
      <c r="R48" s="4"/>
    </row>
    <row r="49" spans="2:18" ht="15" customHeight="1" x14ac:dyDescent="0.25">
      <c r="B49" s="4">
        <v>2</v>
      </c>
      <c r="C49" s="4">
        <v>1</v>
      </c>
      <c r="D49" s="4"/>
      <c r="E49" s="4"/>
      <c r="F49" s="4"/>
      <c r="G49" s="4"/>
      <c r="H49" s="4"/>
      <c r="I49" s="4"/>
      <c r="K49" s="4">
        <v>1</v>
      </c>
      <c r="L49" s="4"/>
      <c r="M49" s="4"/>
      <c r="N49" s="4"/>
      <c r="O49" s="4"/>
      <c r="P49" s="4"/>
      <c r="Q49" s="4"/>
      <c r="R49" s="4"/>
    </row>
    <row r="50" spans="2:18" ht="15" customHeight="1" x14ac:dyDescent="0.25">
      <c r="B50" s="4"/>
      <c r="C50" s="4"/>
      <c r="D50" s="4"/>
      <c r="E50" s="4"/>
      <c r="F50" s="4"/>
      <c r="G50" s="4"/>
      <c r="H50" s="4"/>
      <c r="I50" s="4"/>
      <c r="K50" s="4"/>
      <c r="L50" s="4"/>
      <c r="M50" s="4"/>
      <c r="N50" s="4"/>
      <c r="O50" s="4"/>
      <c r="P50" s="4"/>
      <c r="Q50" s="4"/>
      <c r="R50" s="4"/>
    </row>
    <row r="51" spans="2:18" ht="15" customHeight="1" x14ac:dyDescent="0.25">
      <c r="B51" s="4"/>
      <c r="C51" s="4"/>
      <c r="D51" s="4"/>
      <c r="E51" s="4"/>
      <c r="F51" s="4"/>
      <c r="G51" s="4"/>
      <c r="H51" s="4"/>
      <c r="I51" s="4"/>
      <c r="K51" s="4"/>
      <c r="L51" s="4"/>
      <c r="M51" s="4"/>
      <c r="N51" s="4"/>
      <c r="O51" s="4"/>
      <c r="P51" s="4"/>
      <c r="Q51" s="4"/>
      <c r="R51" s="4"/>
    </row>
    <row r="52" spans="2:18" ht="15" customHeight="1" x14ac:dyDescent="0.25">
      <c r="B52" s="4"/>
      <c r="C52" s="4"/>
      <c r="D52" s="4"/>
      <c r="E52" s="4"/>
      <c r="F52" s="4"/>
      <c r="G52" s="4"/>
      <c r="H52" s="4"/>
      <c r="I52" s="4"/>
      <c r="K52" s="4"/>
      <c r="L52" s="4"/>
      <c r="M52" s="4"/>
      <c r="N52" s="4"/>
      <c r="O52" s="4"/>
      <c r="P52" s="4"/>
      <c r="Q52" s="4"/>
      <c r="R52" s="4"/>
    </row>
    <row r="53" spans="2:18" ht="15" customHeight="1" x14ac:dyDescent="0.25">
      <c r="B53" s="4"/>
      <c r="C53" s="4"/>
      <c r="D53" s="4"/>
      <c r="E53" s="4"/>
      <c r="F53" s="4"/>
      <c r="G53" s="4"/>
      <c r="H53" s="4"/>
      <c r="I53" s="4"/>
      <c r="K53" s="4"/>
      <c r="L53" s="4"/>
      <c r="M53" s="4"/>
      <c r="N53" s="4"/>
      <c r="O53" s="4"/>
      <c r="P53" s="4"/>
      <c r="Q53" s="4"/>
      <c r="R53" s="4"/>
    </row>
    <row r="54" spans="2:18" ht="15" customHeight="1" x14ac:dyDescent="0.25">
      <c r="B54" s="4"/>
      <c r="C54" s="4"/>
      <c r="D54" s="4"/>
      <c r="E54" s="4"/>
      <c r="F54" s="4"/>
      <c r="G54" s="4"/>
      <c r="H54" s="4"/>
      <c r="I54" s="4"/>
      <c r="K54" s="4"/>
      <c r="L54" s="4"/>
      <c r="M54" s="4"/>
      <c r="N54" s="4"/>
      <c r="O54" s="4"/>
      <c r="P54" s="4"/>
      <c r="Q54" s="4"/>
      <c r="R54" s="4"/>
    </row>
    <row r="56" spans="2:18" ht="15" customHeight="1" x14ac:dyDescent="0.25">
      <c r="B56" s="4">
        <v>2</v>
      </c>
      <c r="C56" s="4">
        <v>2</v>
      </c>
      <c r="D56" s="4">
        <v>2</v>
      </c>
      <c r="E56" s="4"/>
      <c r="F56" s="4"/>
      <c r="G56" s="4"/>
      <c r="H56" s="4"/>
      <c r="I56" s="4"/>
      <c r="K56" s="4">
        <v>2</v>
      </c>
      <c r="L56" s="4">
        <v>2</v>
      </c>
      <c r="M56" s="4">
        <v>1</v>
      </c>
      <c r="N56" s="4"/>
      <c r="O56" s="4"/>
      <c r="P56" s="4"/>
      <c r="Q56" s="4"/>
      <c r="R56" s="4"/>
    </row>
    <row r="57" spans="2:18" ht="15" customHeight="1" x14ac:dyDescent="0.25">
      <c r="B57" s="4">
        <v>2</v>
      </c>
      <c r="C57" s="4">
        <v>1</v>
      </c>
      <c r="D57" s="4">
        <v>1</v>
      </c>
      <c r="E57" s="4"/>
      <c r="F57" s="4"/>
      <c r="G57" s="4"/>
      <c r="H57" s="4"/>
      <c r="I57" s="4"/>
      <c r="K57" s="4">
        <v>2</v>
      </c>
      <c r="L57" s="4">
        <v>1</v>
      </c>
      <c r="M57" s="4"/>
      <c r="N57" s="4"/>
      <c r="O57" s="4"/>
      <c r="P57" s="4"/>
      <c r="Q57" s="4"/>
      <c r="R57" s="4"/>
    </row>
    <row r="58" spans="2:18" ht="15" customHeight="1" x14ac:dyDescent="0.25">
      <c r="B58" s="4">
        <v>1</v>
      </c>
      <c r="C58" s="4"/>
      <c r="D58" s="4"/>
      <c r="E58" s="4"/>
      <c r="F58" s="4"/>
      <c r="G58" s="4"/>
      <c r="H58" s="4"/>
      <c r="I58" s="4"/>
      <c r="K58" s="4">
        <v>2</v>
      </c>
      <c r="L58" s="4">
        <v>1</v>
      </c>
      <c r="M58" s="4"/>
      <c r="N58" s="4"/>
      <c r="O58" s="4"/>
      <c r="P58" s="4"/>
      <c r="Q58" s="4"/>
      <c r="R58" s="4"/>
    </row>
    <row r="59" spans="2:18" ht="15" customHeight="1" x14ac:dyDescent="0.25">
      <c r="B59" s="4"/>
      <c r="C59" s="4"/>
      <c r="D59" s="4"/>
      <c r="E59" s="4"/>
      <c r="F59" s="4"/>
      <c r="G59" s="4"/>
      <c r="H59" s="4"/>
      <c r="I59" s="4"/>
      <c r="K59" s="4"/>
      <c r="L59" s="4"/>
      <c r="M59" s="4"/>
      <c r="N59" s="4"/>
      <c r="O59" s="4"/>
      <c r="P59" s="4"/>
      <c r="Q59" s="4"/>
      <c r="R59" s="4"/>
    </row>
    <row r="60" spans="2:18" ht="15" customHeight="1" x14ac:dyDescent="0.25">
      <c r="B60" s="4"/>
      <c r="C60" s="4"/>
      <c r="D60" s="4"/>
      <c r="E60" s="4"/>
      <c r="F60" s="4"/>
      <c r="G60" s="4"/>
      <c r="H60" s="4"/>
      <c r="I60" s="4"/>
      <c r="K60" s="4"/>
      <c r="L60" s="4"/>
      <c r="M60" s="4"/>
      <c r="N60" s="4"/>
      <c r="O60" s="4"/>
      <c r="P60" s="4"/>
      <c r="Q60" s="4"/>
      <c r="R60" s="4"/>
    </row>
    <row r="61" spans="2:18" ht="15" customHeight="1" x14ac:dyDescent="0.25">
      <c r="B61" s="4"/>
      <c r="C61" s="4"/>
      <c r="D61" s="4"/>
      <c r="E61" s="4"/>
      <c r="F61" s="4"/>
      <c r="G61" s="4"/>
      <c r="H61" s="4"/>
      <c r="I61" s="4"/>
      <c r="K61" s="4"/>
      <c r="L61" s="4"/>
      <c r="M61" s="4"/>
      <c r="N61" s="4"/>
      <c r="O61" s="4"/>
      <c r="P61" s="4"/>
      <c r="Q61" s="4"/>
      <c r="R61" s="4"/>
    </row>
    <row r="62" spans="2:18" ht="15" customHeight="1" x14ac:dyDescent="0.25">
      <c r="B62" s="4"/>
      <c r="C62" s="4"/>
      <c r="D62" s="4"/>
      <c r="E62" s="4"/>
      <c r="F62" s="4"/>
      <c r="G62" s="4"/>
      <c r="H62" s="4"/>
      <c r="I62" s="4"/>
      <c r="K62" s="4"/>
      <c r="L62" s="4"/>
      <c r="M62" s="4"/>
      <c r="N62" s="4"/>
      <c r="O62" s="4"/>
      <c r="P62" s="4"/>
      <c r="Q62" s="4"/>
      <c r="R62" s="4"/>
    </row>
    <row r="63" spans="2:18" ht="15" customHeight="1" x14ac:dyDescent="0.25">
      <c r="B63" s="4"/>
      <c r="C63" s="4"/>
      <c r="D63" s="4"/>
      <c r="E63" s="4"/>
      <c r="F63" s="4"/>
      <c r="G63" s="4"/>
      <c r="H63" s="4"/>
      <c r="I63" s="4"/>
      <c r="K63" s="4"/>
      <c r="L63" s="4"/>
      <c r="M63" s="4"/>
      <c r="N63" s="4"/>
      <c r="O63" s="4"/>
      <c r="P63" s="4"/>
      <c r="Q63" s="4"/>
      <c r="R63" s="4"/>
    </row>
    <row r="65" spans="2:18" ht="15" customHeight="1" x14ac:dyDescent="0.25">
      <c r="B65" s="4">
        <v>2</v>
      </c>
      <c r="C65" s="4">
        <v>2</v>
      </c>
      <c r="D65" s="4">
        <v>1</v>
      </c>
      <c r="E65" s="4">
        <v>1</v>
      </c>
      <c r="F65" s="4"/>
      <c r="G65" s="4"/>
      <c r="H65" s="4"/>
      <c r="I65" s="4"/>
      <c r="K65" s="4">
        <v>2</v>
      </c>
      <c r="L65" s="4">
        <v>1</v>
      </c>
      <c r="M65" s="4">
        <v>1</v>
      </c>
      <c r="N65" s="4"/>
      <c r="O65" s="4"/>
      <c r="P65" s="4"/>
      <c r="Q65" s="4"/>
      <c r="R65" s="4"/>
    </row>
    <row r="66" spans="2:18" ht="15" customHeight="1" x14ac:dyDescent="0.25">
      <c r="B66" s="4">
        <v>1</v>
      </c>
      <c r="C66" s="4"/>
      <c r="D66" s="4"/>
      <c r="E66" s="4"/>
      <c r="F66" s="4"/>
      <c r="G66" s="4"/>
      <c r="H66" s="4"/>
      <c r="I66" s="4"/>
      <c r="K66" s="4">
        <v>2</v>
      </c>
      <c r="L66" s="4"/>
      <c r="M66" s="4"/>
      <c r="N66" s="4"/>
      <c r="O66" s="4"/>
      <c r="P66" s="4"/>
      <c r="Q66" s="4"/>
      <c r="R66" s="4"/>
    </row>
    <row r="67" spans="2:18" ht="15" customHeight="1" x14ac:dyDescent="0.25">
      <c r="B67" s="4">
        <v>1</v>
      </c>
      <c r="C67" s="4"/>
      <c r="D67" s="4"/>
      <c r="E67" s="4"/>
      <c r="F67" s="4"/>
      <c r="G67" s="4"/>
      <c r="H67" s="4"/>
      <c r="I67" s="4"/>
      <c r="K67" s="4">
        <v>1</v>
      </c>
      <c r="L67" s="4"/>
      <c r="M67" s="4"/>
      <c r="N67" s="4"/>
      <c r="O67" s="4"/>
      <c r="P67" s="4"/>
      <c r="Q67" s="4"/>
      <c r="R67" s="4"/>
    </row>
    <row r="68" spans="2:18" ht="15" customHeight="1" x14ac:dyDescent="0.25">
      <c r="B68" s="4"/>
      <c r="C68" s="4"/>
      <c r="D68" s="4"/>
      <c r="E68" s="4"/>
      <c r="F68" s="4"/>
      <c r="G68" s="4"/>
      <c r="H68" s="4"/>
      <c r="I68" s="4"/>
      <c r="K68" s="4">
        <v>1</v>
      </c>
      <c r="L68" s="4"/>
      <c r="M68" s="4"/>
      <c r="N68" s="4"/>
      <c r="O68" s="4"/>
      <c r="P68" s="4"/>
      <c r="Q68" s="4"/>
      <c r="R68" s="4"/>
    </row>
    <row r="69" spans="2:18" ht="15" customHeight="1" x14ac:dyDescent="0.25">
      <c r="B69" s="4"/>
      <c r="C69" s="4"/>
      <c r="D69" s="4"/>
      <c r="E69" s="4"/>
      <c r="F69" s="4"/>
      <c r="G69" s="4"/>
      <c r="H69" s="4"/>
      <c r="I69" s="4"/>
      <c r="K69" s="4"/>
      <c r="L69" s="4"/>
      <c r="M69" s="4"/>
      <c r="N69" s="4"/>
      <c r="O69" s="4"/>
      <c r="P69" s="4"/>
      <c r="Q69" s="4"/>
      <c r="R69" s="4"/>
    </row>
    <row r="70" spans="2:18" ht="15" customHeight="1" x14ac:dyDescent="0.25">
      <c r="B70" s="4"/>
      <c r="C70" s="4"/>
      <c r="D70" s="4"/>
      <c r="E70" s="4"/>
      <c r="F70" s="4"/>
      <c r="G70" s="4"/>
      <c r="H70" s="4"/>
      <c r="I70" s="4"/>
      <c r="K70" s="4"/>
      <c r="L70" s="4"/>
      <c r="M70" s="4"/>
      <c r="N70" s="4"/>
      <c r="O70" s="4"/>
      <c r="P70" s="4"/>
      <c r="Q70" s="4"/>
      <c r="R70" s="4"/>
    </row>
    <row r="71" spans="2:18" ht="15" customHeight="1" x14ac:dyDescent="0.25">
      <c r="B71" s="4"/>
      <c r="C71" s="4"/>
      <c r="D71" s="4"/>
      <c r="E71" s="4"/>
      <c r="F71" s="4"/>
      <c r="G71" s="4"/>
      <c r="H71" s="4"/>
      <c r="I71" s="4"/>
      <c r="K71" s="4"/>
      <c r="L71" s="4"/>
      <c r="M71" s="4"/>
      <c r="N71" s="4"/>
      <c r="O71" s="4"/>
      <c r="P71" s="4"/>
      <c r="Q71" s="4"/>
      <c r="R71" s="4"/>
    </row>
    <row r="72" spans="2:18" ht="15" customHeight="1" x14ac:dyDescent="0.25">
      <c r="B72" s="4"/>
      <c r="C72" s="4"/>
      <c r="D72" s="4"/>
      <c r="E72" s="4"/>
      <c r="F72" s="4"/>
      <c r="G72" s="4"/>
      <c r="H72" s="4"/>
      <c r="I72" s="4"/>
      <c r="K72" s="4"/>
      <c r="L72" s="4"/>
      <c r="M72" s="4"/>
      <c r="N72" s="4"/>
      <c r="O72" s="4"/>
      <c r="P72" s="4"/>
      <c r="Q72" s="4"/>
      <c r="R72" s="4"/>
    </row>
    <row r="74" spans="2:18" ht="15" customHeight="1" x14ac:dyDescent="0.25">
      <c r="B74" s="5">
        <v>2</v>
      </c>
      <c r="C74" s="5">
        <v>2</v>
      </c>
      <c r="D74" s="5">
        <v>1</v>
      </c>
      <c r="E74" s="4"/>
      <c r="F74" s="4"/>
      <c r="G74" s="4"/>
      <c r="H74" s="4"/>
      <c r="I74" s="4"/>
      <c r="K74" s="4">
        <v>2</v>
      </c>
      <c r="L74" s="4">
        <v>1</v>
      </c>
      <c r="M74" s="4">
        <v>1</v>
      </c>
      <c r="N74" s="4"/>
      <c r="O74" s="4"/>
      <c r="P74" s="4"/>
      <c r="Q74" s="4"/>
      <c r="R74" s="4"/>
    </row>
    <row r="75" spans="2:18" ht="15" customHeight="1" x14ac:dyDescent="0.25">
      <c r="B75" s="4">
        <v>1</v>
      </c>
      <c r="C75" s="4">
        <v>1</v>
      </c>
      <c r="D75" s="4"/>
      <c r="E75" s="4"/>
      <c r="F75" s="4"/>
      <c r="G75" s="4"/>
      <c r="H75" s="4"/>
      <c r="I75" s="4"/>
      <c r="K75" s="4">
        <v>2</v>
      </c>
      <c r="L75" s="4">
        <v>1</v>
      </c>
      <c r="M75" s="4"/>
      <c r="N75" s="4"/>
      <c r="O75" s="4"/>
      <c r="P75" s="4"/>
      <c r="Q75" s="4"/>
      <c r="R75" s="4"/>
    </row>
    <row r="76" spans="2:18" ht="15" customHeight="1" x14ac:dyDescent="0.25">
      <c r="B76" s="4">
        <v>1</v>
      </c>
      <c r="C76" s="4"/>
      <c r="D76" s="4"/>
      <c r="E76" s="4"/>
      <c r="F76" s="4"/>
      <c r="G76" s="4"/>
      <c r="H76" s="4"/>
      <c r="I76" s="4"/>
      <c r="K76" s="4">
        <v>1</v>
      </c>
      <c r="L76" s="4"/>
      <c r="M76" s="4"/>
      <c r="N76" s="4"/>
      <c r="O76" s="4"/>
      <c r="P76" s="4"/>
      <c r="Q76" s="4"/>
      <c r="R76" s="4"/>
    </row>
    <row r="77" spans="2:18" ht="15" customHeight="1" x14ac:dyDescent="0.25">
      <c r="B77" s="4"/>
      <c r="C77" s="4"/>
      <c r="D77" s="4"/>
      <c r="E77" s="4"/>
      <c r="F77" s="4"/>
      <c r="G77" s="4"/>
      <c r="H77" s="4"/>
      <c r="I77" s="4"/>
      <c r="K77" s="4"/>
      <c r="L77" s="4"/>
      <c r="M77" s="4"/>
      <c r="N77" s="4"/>
      <c r="O77" s="4"/>
      <c r="P77" s="4"/>
      <c r="Q77" s="4"/>
      <c r="R77" s="4"/>
    </row>
    <row r="78" spans="2:18" ht="15" customHeight="1" x14ac:dyDescent="0.25">
      <c r="B78" s="4"/>
      <c r="C78" s="4"/>
      <c r="D78" s="4"/>
      <c r="E78" s="4"/>
      <c r="F78" s="4"/>
      <c r="G78" s="4"/>
      <c r="H78" s="4"/>
      <c r="I78" s="4"/>
      <c r="K78" s="4"/>
      <c r="L78" s="4"/>
      <c r="M78" s="4"/>
      <c r="N78" s="4"/>
      <c r="O78" s="4"/>
      <c r="P78" s="4"/>
      <c r="Q78" s="4"/>
      <c r="R78" s="4"/>
    </row>
    <row r="79" spans="2:18" ht="15" customHeight="1" x14ac:dyDescent="0.25">
      <c r="B79" s="4"/>
      <c r="C79" s="4"/>
      <c r="D79" s="4"/>
      <c r="E79" s="4"/>
      <c r="F79" s="4"/>
      <c r="G79" s="4"/>
      <c r="H79" s="4"/>
      <c r="I79" s="4"/>
      <c r="K79" s="4"/>
      <c r="L79" s="4"/>
      <c r="M79" s="4"/>
      <c r="N79" s="4"/>
      <c r="O79" s="4"/>
      <c r="P79" s="4"/>
      <c r="Q79" s="4"/>
      <c r="R79" s="4"/>
    </row>
    <row r="80" spans="2:18" ht="15" customHeight="1" x14ac:dyDescent="0.25">
      <c r="B80" s="4"/>
      <c r="C80" s="4"/>
      <c r="D80" s="4"/>
      <c r="E80" s="4"/>
      <c r="F80" s="4"/>
      <c r="G80" s="4"/>
      <c r="H80" s="4"/>
      <c r="I80" s="4"/>
      <c r="K80" s="4"/>
      <c r="L80" s="4"/>
      <c r="M80" s="4"/>
      <c r="N80" s="4"/>
      <c r="O80" s="4"/>
      <c r="P80" s="4"/>
      <c r="Q80" s="4"/>
      <c r="R80" s="4"/>
    </row>
    <row r="81" spans="2:18" ht="15" customHeight="1" x14ac:dyDescent="0.25">
      <c r="B81" s="4"/>
      <c r="C81" s="4"/>
      <c r="D81" s="4"/>
      <c r="E81" s="4"/>
      <c r="F81" s="4"/>
      <c r="G81" s="4"/>
      <c r="H81" s="4"/>
      <c r="I81" s="4"/>
      <c r="K81" s="4"/>
      <c r="L81" s="4"/>
      <c r="M81" s="4"/>
      <c r="N81" s="4"/>
      <c r="O81" s="4"/>
      <c r="P81" s="4"/>
      <c r="Q81" s="4"/>
      <c r="R81" s="4"/>
    </row>
    <row r="83" spans="2:18" ht="15" customHeight="1" x14ac:dyDescent="0.25">
      <c r="B83" s="4">
        <v>2</v>
      </c>
      <c r="C83" s="4">
        <v>1</v>
      </c>
      <c r="D83" s="4">
        <v>2</v>
      </c>
      <c r="E83" s="4"/>
      <c r="F83" s="4"/>
      <c r="G83" s="4"/>
      <c r="H83" s="4"/>
      <c r="I83" s="4"/>
      <c r="K83" s="4">
        <v>2</v>
      </c>
      <c r="L83" s="4">
        <v>1</v>
      </c>
      <c r="M83" s="4">
        <v>1</v>
      </c>
      <c r="N83" s="4"/>
      <c r="O83" s="4"/>
      <c r="P83" s="4"/>
      <c r="Q83" s="4"/>
      <c r="R83" s="4"/>
    </row>
    <row r="84" spans="2:18" ht="15" customHeight="1" x14ac:dyDescent="0.25">
      <c r="B84" s="4">
        <v>1</v>
      </c>
      <c r="C84" s="4"/>
      <c r="D84" s="4">
        <v>1</v>
      </c>
      <c r="E84" s="4"/>
      <c r="F84" s="4"/>
      <c r="G84" s="4"/>
      <c r="H84" s="4"/>
      <c r="I84" s="4"/>
      <c r="K84" s="4">
        <v>1</v>
      </c>
      <c r="L84" s="4"/>
      <c r="M84" s="4"/>
      <c r="N84" s="4"/>
      <c r="O84" s="4"/>
      <c r="P84" s="4"/>
      <c r="Q84" s="4"/>
      <c r="R84" s="4"/>
    </row>
    <row r="85" spans="2:18" ht="15" customHeight="1" x14ac:dyDescent="0.25">
      <c r="B85" s="4">
        <v>1</v>
      </c>
      <c r="C85" s="4"/>
      <c r="D85" s="4"/>
      <c r="E85" s="4"/>
      <c r="F85" s="4"/>
      <c r="G85" s="4"/>
      <c r="H85" s="4"/>
      <c r="I85" s="4"/>
      <c r="K85" s="4">
        <v>2</v>
      </c>
      <c r="L85" s="4">
        <v>1</v>
      </c>
      <c r="M85" s="4"/>
      <c r="N85" s="4"/>
      <c r="O85" s="4"/>
      <c r="P85" s="4"/>
      <c r="Q85" s="4"/>
      <c r="R85" s="4"/>
    </row>
    <row r="86" spans="2:18" ht="15" customHeight="1" x14ac:dyDescent="0.25">
      <c r="B86" s="4"/>
      <c r="C86" s="4"/>
      <c r="D86" s="4"/>
      <c r="E86" s="4"/>
      <c r="F86" s="4"/>
      <c r="G86" s="4"/>
      <c r="H86" s="4"/>
      <c r="I86" s="4"/>
      <c r="K86" s="4"/>
      <c r="L86" s="4"/>
      <c r="M86" s="4"/>
      <c r="N86" s="4"/>
      <c r="O86" s="4"/>
      <c r="P86" s="4"/>
      <c r="Q86" s="4"/>
      <c r="R86" s="4"/>
    </row>
    <row r="87" spans="2:18" ht="15" customHeight="1" x14ac:dyDescent="0.25">
      <c r="B87" s="4"/>
      <c r="C87" s="4"/>
      <c r="D87" s="4"/>
      <c r="E87" s="4"/>
      <c r="F87" s="4"/>
      <c r="G87" s="4"/>
      <c r="H87" s="4"/>
      <c r="I87" s="4"/>
      <c r="K87" s="4"/>
      <c r="L87" s="4"/>
      <c r="M87" s="4"/>
      <c r="N87" s="4"/>
      <c r="O87" s="4"/>
      <c r="P87" s="4"/>
      <c r="Q87" s="4"/>
      <c r="R87" s="4"/>
    </row>
    <row r="88" spans="2:18" ht="15" customHeight="1" x14ac:dyDescent="0.25">
      <c r="B88" s="4"/>
      <c r="C88" s="4"/>
      <c r="D88" s="4"/>
      <c r="E88" s="4"/>
      <c r="F88" s="4"/>
      <c r="G88" s="4"/>
      <c r="H88" s="4"/>
      <c r="I88" s="4"/>
      <c r="K88" s="4"/>
      <c r="L88" s="4"/>
      <c r="M88" s="4"/>
      <c r="N88" s="4"/>
      <c r="O88" s="4"/>
      <c r="P88" s="4"/>
      <c r="Q88" s="4"/>
      <c r="R88" s="4"/>
    </row>
    <row r="89" spans="2:18" ht="15" customHeight="1" x14ac:dyDescent="0.25">
      <c r="B89" s="4"/>
      <c r="C89" s="4"/>
      <c r="D89" s="4"/>
      <c r="E89" s="4"/>
      <c r="F89" s="4"/>
      <c r="G89" s="4"/>
      <c r="H89" s="4"/>
      <c r="I89" s="4"/>
      <c r="K89" s="4"/>
      <c r="L89" s="4"/>
      <c r="M89" s="4"/>
      <c r="N89" s="4"/>
      <c r="O89" s="4"/>
      <c r="P89" s="4"/>
      <c r="Q89" s="4"/>
      <c r="R89" s="4"/>
    </row>
    <row r="90" spans="2:18" ht="15" customHeight="1" x14ac:dyDescent="0.25">
      <c r="B90" s="4"/>
      <c r="C90" s="4"/>
      <c r="D90" s="4"/>
      <c r="E90" s="4"/>
      <c r="F90" s="4"/>
      <c r="G90" s="4"/>
      <c r="H90" s="4"/>
      <c r="I90" s="4"/>
      <c r="K90" s="4"/>
      <c r="L90" s="4"/>
      <c r="M90" s="4"/>
      <c r="N90" s="4"/>
      <c r="O90" s="4"/>
      <c r="P90" s="4"/>
      <c r="Q90" s="4"/>
      <c r="R90" s="4"/>
    </row>
    <row r="92" spans="2:18" ht="15" customHeight="1" x14ac:dyDescent="0.25">
      <c r="B92" s="4">
        <v>2</v>
      </c>
      <c r="C92" s="4">
        <v>1</v>
      </c>
      <c r="D92" s="4">
        <v>2</v>
      </c>
      <c r="E92" s="4">
        <v>1</v>
      </c>
      <c r="F92" s="4"/>
      <c r="G92" s="4"/>
      <c r="H92" s="4"/>
      <c r="I92" s="4"/>
      <c r="K92" s="4">
        <v>2</v>
      </c>
      <c r="L92" s="4">
        <v>1</v>
      </c>
      <c r="M92" s="4">
        <v>1</v>
      </c>
      <c r="N92" s="4"/>
      <c r="O92" s="4"/>
      <c r="P92" s="4"/>
      <c r="Q92" s="4"/>
      <c r="R92" s="4"/>
    </row>
    <row r="93" spans="2:18" ht="15" customHeight="1" x14ac:dyDescent="0.25">
      <c r="B93" s="4">
        <v>1</v>
      </c>
      <c r="C93" s="4"/>
      <c r="D93" s="4"/>
      <c r="E93" s="4"/>
      <c r="F93" s="4"/>
      <c r="G93" s="4"/>
      <c r="H93" s="4"/>
      <c r="I93" s="4"/>
      <c r="K93" s="4">
        <v>1</v>
      </c>
      <c r="L93" s="4"/>
      <c r="M93" s="4"/>
      <c r="N93" s="4"/>
      <c r="O93" s="4"/>
      <c r="P93" s="4"/>
      <c r="Q93" s="4"/>
      <c r="R93" s="4"/>
    </row>
    <row r="94" spans="2:18" ht="15" customHeight="1" x14ac:dyDescent="0.25">
      <c r="B94" s="4">
        <v>1</v>
      </c>
      <c r="C94" s="4"/>
      <c r="D94" s="4"/>
      <c r="E94" s="4"/>
      <c r="F94" s="4"/>
      <c r="G94" s="4"/>
      <c r="H94" s="4"/>
      <c r="I94" s="4"/>
      <c r="K94" s="4">
        <v>2</v>
      </c>
      <c r="L94" s="4"/>
      <c r="M94" s="4"/>
      <c r="N94" s="4"/>
      <c r="O94" s="4"/>
      <c r="P94" s="4"/>
      <c r="Q94" s="4"/>
      <c r="R94" s="4"/>
    </row>
    <row r="95" spans="2:18" ht="15" customHeight="1" x14ac:dyDescent="0.25">
      <c r="B95" s="4"/>
      <c r="C95" s="4"/>
      <c r="D95" s="4"/>
      <c r="E95" s="4"/>
      <c r="F95" s="4"/>
      <c r="G95" s="4"/>
      <c r="H95" s="4"/>
      <c r="I95" s="4"/>
      <c r="K95" s="4">
        <v>1</v>
      </c>
      <c r="L95" s="4"/>
      <c r="M95" s="4"/>
      <c r="N95" s="4"/>
      <c r="O95" s="4"/>
      <c r="P95" s="4"/>
      <c r="Q95" s="4"/>
      <c r="R95" s="4"/>
    </row>
    <row r="96" spans="2:18" ht="15" customHeight="1" x14ac:dyDescent="0.25">
      <c r="B96" s="4"/>
      <c r="C96" s="4"/>
      <c r="D96" s="4"/>
      <c r="E96" s="4"/>
      <c r="F96" s="4"/>
      <c r="G96" s="4"/>
      <c r="H96" s="4"/>
      <c r="I96" s="4"/>
      <c r="K96" s="4"/>
      <c r="L96" s="4"/>
      <c r="M96" s="4"/>
      <c r="N96" s="4"/>
      <c r="O96" s="4"/>
      <c r="P96" s="4"/>
      <c r="Q96" s="4"/>
      <c r="R96" s="4"/>
    </row>
    <row r="97" spans="2:18" ht="15" customHeight="1" x14ac:dyDescent="0.25">
      <c r="B97" s="4"/>
      <c r="C97" s="4"/>
      <c r="D97" s="4"/>
      <c r="E97" s="4"/>
      <c r="F97" s="4"/>
      <c r="G97" s="4"/>
      <c r="H97" s="4"/>
      <c r="I97" s="4"/>
      <c r="K97" s="4"/>
      <c r="L97" s="4"/>
      <c r="M97" s="4"/>
      <c r="N97" s="4"/>
      <c r="O97" s="4"/>
      <c r="P97" s="4"/>
      <c r="Q97" s="4"/>
      <c r="R97" s="4"/>
    </row>
    <row r="98" spans="2:18" ht="15" customHeight="1" x14ac:dyDescent="0.25">
      <c r="B98" s="4"/>
      <c r="C98" s="4"/>
      <c r="D98" s="4"/>
      <c r="E98" s="4"/>
      <c r="F98" s="4"/>
      <c r="G98" s="4"/>
      <c r="H98" s="4"/>
      <c r="I98" s="4"/>
      <c r="K98" s="4"/>
      <c r="L98" s="4"/>
      <c r="M98" s="4"/>
      <c r="N98" s="4"/>
      <c r="O98" s="4"/>
      <c r="P98" s="4"/>
      <c r="Q98" s="4"/>
      <c r="R98" s="4"/>
    </row>
    <row r="99" spans="2:18" ht="15" customHeight="1" x14ac:dyDescent="0.25">
      <c r="B99" s="4"/>
      <c r="C99" s="4"/>
      <c r="D99" s="4"/>
      <c r="E99" s="4"/>
      <c r="F99" s="4"/>
      <c r="G99" s="4"/>
      <c r="H99" s="4"/>
      <c r="I99" s="4"/>
      <c r="K99" s="4"/>
      <c r="L99" s="4"/>
      <c r="M99" s="4"/>
      <c r="N99" s="4"/>
      <c r="O99" s="4"/>
      <c r="P99" s="4"/>
      <c r="Q99" s="4"/>
      <c r="R99" s="4"/>
    </row>
    <row r="101" spans="2:18" ht="15" customHeight="1" x14ac:dyDescent="0.25">
      <c r="B101" s="4">
        <v>2</v>
      </c>
      <c r="C101" s="4">
        <v>2</v>
      </c>
      <c r="D101" s="4">
        <v>1</v>
      </c>
      <c r="E101" s="4"/>
      <c r="F101" s="4"/>
      <c r="G101" s="4"/>
      <c r="H101" s="4"/>
      <c r="I101" s="4"/>
      <c r="K101" s="4">
        <v>2</v>
      </c>
      <c r="L101" s="4">
        <v>2</v>
      </c>
      <c r="M101" s="4">
        <v>1</v>
      </c>
      <c r="N101" s="4">
        <v>1</v>
      </c>
      <c r="O101" s="4"/>
      <c r="P101" s="4"/>
      <c r="Q101" s="4"/>
      <c r="R101" s="4"/>
    </row>
    <row r="102" spans="2:18" ht="15" customHeight="1" x14ac:dyDescent="0.25">
      <c r="B102" s="4">
        <v>2</v>
      </c>
      <c r="C102" s="4">
        <v>1</v>
      </c>
      <c r="D102" s="4"/>
      <c r="E102" s="4"/>
      <c r="F102" s="4"/>
      <c r="G102" s="4"/>
      <c r="H102" s="4"/>
      <c r="I102" s="4"/>
      <c r="K102" s="4">
        <v>2</v>
      </c>
      <c r="L102" s="4">
        <v>1</v>
      </c>
      <c r="M102" s="4"/>
      <c r="N102" s="4"/>
      <c r="O102" s="4"/>
      <c r="P102" s="4"/>
      <c r="Q102" s="4"/>
      <c r="R102" s="4"/>
    </row>
    <row r="103" spans="2:18" ht="15" customHeight="1" x14ac:dyDescent="0.25">
      <c r="B103" s="4">
        <v>1</v>
      </c>
      <c r="C103" s="4"/>
      <c r="D103" s="4"/>
      <c r="E103" s="4"/>
      <c r="F103" s="4"/>
      <c r="G103" s="4"/>
      <c r="H103" s="4"/>
      <c r="I103" s="4"/>
      <c r="K103" s="4">
        <v>1</v>
      </c>
      <c r="L103" s="4"/>
      <c r="M103" s="4"/>
      <c r="N103" s="4"/>
      <c r="O103" s="4"/>
      <c r="P103" s="4"/>
      <c r="Q103" s="4"/>
      <c r="R103" s="4"/>
    </row>
    <row r="104" spans="2:18" ht="15" customHeight="1" x14ac:dyDescent="0.25">
      <c r="B104" s="4">
        <v>1</v>
      </c>
      <c r="C104" s="4"/>
      <c r="D104" s="4"/>
      <c r="E104" s="4"/>
      <c r="F104" s="4"/>
      <c r="G104" s="4"/>
      <c r="H104" s="4"/>
      <c r="I104" s="4"/>
      <c r="K104" s="4"/>
      <c r="L104" s="4"/>
      <c r="M104" s="4"/>
      <c r="N104" s="4"/>
      <c r="O104" s="4"/>
      <c r="P104" s="4"/>
      <c r="Q104" s="4"/>
      <c r="R104" s="4"/>
    </row>
    <row r="105" spans="2:18" ht="15" customHeight="1" x14ac:dyDescent="0.25">
      <c r="B105" s="4"/>
      <c r="C105" s="4"/>
      <c r="D105" s="4"/>
      <c r="E105" s="4"/>
      <c r="F105" s="4"/>
      <c r="G105" s="4"/>
      <c r="H105" s="4"/>
      <c r="I105" s="4"/>
      <c r="K105" s="4"/>
      <c r="L105" s="4"/>
      <c r="M105" s="4"/>
      <c r="N105" s="4"/>
      <c r="O105" s="4"/>
      <c r="P105" s="4"/>
      <c r="Q105" s="4"/>
      <c r="R105" s="4"/>
    </row>
    <row r="106" spans="2:18" ht="15" customHeight="1" x14ac:dyDescent="0.25">
      <c r="B106" s="4"/>
      <c r="C106" s="4"/>
      <c r="D106" s="4"/>
      <c r="E106" s="4"/>
      <c r="F106" s="4"/>
      <c r="G106" s="4"/>
      <c r="H106" s="4"/>
      <c r="I106" s="4"/>
      <c r="K106" s="4"/>
      <c r="L106" s="4"/>
      <c r="M106" s="4"/>
      <c r="N106" s="4"/>
      <c r="O106" s="4"/>
      <c r="P106" s="4"/>
      <c r="Q106" s="4"/>
      <c r="R106" s="4"/>
    </row>
    <row r="107" spans="2:18" ht="15" customHeight="1" x14ac:dyDescent="0.25">
      <c r="B107" s="4"/>
      <c r="C107" s="4"/>
      <c r="D107" s="4"/>
      <c r="E107" s="4"/>
      <c r="F107" s="4"/>
      <c r="G107" s="4"/>
      <c r="H107" s="4"/>
      <c r="I107" s="4"/>
      <c r="K107" s="4"/>
      <c r="L107" s="4"/>
      <c r="M107" s="4"/>
      <c r="N107" s="4"/>
      <c r="O107" s="4"/>
      <c r="P107" s="4"/>
      <c r="Q107" s="4"/>
      <c r="R107" s="4"/>
    </row>
    <row r="108" spans="2:18" ht="15" customHeight="1" x14ac:dyDescent="0.25">
      <c r="B108" s="4"/>
      <c r="C108" s="4"/>
      <c r="D108" s="4"/>
      <c r="E108" s="4"/>
      <c r="F108" s="4"/>
      <c r="G108" s="4"/>
      <c r="H108" s="4"/>
      <c r="I108" s="4"/>
      <c r="K108" s="4"/>
      <c r="L108" s="4"/>
      <c r="M108" s="4"/>
      <c r="N108" s="4"/>
      <c r="O108" s="4"/>
      <c r="P108" s="4"/>
      <c r="Q108" s="4"/>
      <c r="R108" s="4"/>
    </row>
    <row r="110" spans="2:18" ht="15" customHeight="1" x14ac:dyDescent="0.25">
      <c r="B110" s="4">
        <v>2</v>
      </c>
      <c r="C110" s="4">
        <v>2</v>
      </c>
      <c r="D110" s="4">
        <v>1</v>
      </c>
      <c r="E110" s="4"/>
      <c r="F110" s="4"/>
      <c r="G110" s="4"/>
      <c r="H110" s="4"/>
      <c r="I110" s="4"/>
      <c r="K110" s="4">
        <v>2</v>
      </c>
      <c r="L110" s="4">
        <v>2</v>
      </c>
      <c r="M110" s="4">
        <v>1</v>
      </c>
      <c r="N110" s="4">
        <v>1</v>
      </c>
      <c r="O110" s="4"/>
      <c r="P110" s="4"/>
      <c r="Q110" s="4"/>
      <c r="R110" s="4"/>
    </row>
    <row r="111" spans="2:18" ht="15" customHeight="1" x14ac:dyDescent="0.25">
      <c r="B111" s="4">
        <v>2</v>
      </c>
      <c r="C111" s="4">
        <v>1</v>
      </c>
      <c r="D111" s="4"/>
      <c r="E111" s="4"/>
      <c r="F111" s="4"/>
      <c r="G111" s="4"/>
      <c r="H111" s="4"/>
      <c r="I111" s="4"/>
      <c r="K111" s="4">
        <v>2</v>
      </c>
      <c r="L111" s="4">
        <v>1</v>
      </c>
      <c r="M111" s="4"/>
      <c r="N111" s="4"/>
      <c r="O111" s="4"/>
      <c r="P111" s="4"/>
      <c r="Q111" s="4"/>
      <c r="R111" s="4"/>
    </row>
    <row r="112" spans="2:18" ht="15" customHeight="1" x14ac:dyDescent="0.25">
      <c r="B112" s="4">
        <v>1</v>
      </c>
      <c r="C112" s="4"/>
      <c r="D112" s="4"/>
      <c r="E112" s="4"/>
      <c r="F112" s="4"/>
      <c r="G112" s="4"/>
      <c r="H112" s="4"/>
      <c r="I112" s="4"/>
      <c r="K112" s="4">
        <v>1</v>
      </c>
      <c r="L112" s="4"/>
      <c r="M112" s="4"/>
      <c r="N112" s="4"/>
      <c r="O112" s="4"/>
      <c r="P112" s="4"/>
      <c r="Q112" s="4"/>
      <c r="R112" s="4"/>
    </row>
    <row r="113" spans="2:18" ht="15" customHeight="1" x14ac:dyDescent="0.25">
      <c r="B113" s="4">
        <v>1</v>
      </c>
      <c r="C113" s="4"/>
      <c r="D113" s="4"/>
      <c r="E113" s="4"/>
      <c r="F113" s="4"/>
      <c r="G113" s="4"/>
      <c r="H113" s="4"/>
      <c r="I113" s="4"/>
      <c r="K113" s="4"/>
      <c r="L113" s="4"/>
      <c r="M113" s="4"/>
      <c r="N113" s="4"/>
      <c r="O113" s="4"/>
      <c r="P113" s="4"/>
      <c r="Q113" s="4"/>
      <c r="R113" s="4"/>
    </row>
    <row r="114" spans="2:18" ht="15" customHeight="1" x14ac:dyDescent="0.25">
      <c r="B114" s="4"/>
      <c r="C114" s="4"/>
      <c r="D114" s="4"/>
      <c r="E114" s="4"/>
      <c r="F114" s="4"/>
      <c r="G114" s="4"/>
      <c r="H114" s="4"/>
      <c r="I114" s="4"/>
      <c r="K114" s="4"/>
      <c r="L114" s="4"/>
      <c r="M114" s="4"/>
      <c r="N114" s="4"/>
      <c r="O114" s="4"/>
      <c r="P114" s="4"/>
      <c r="Q114" s="4"/>
      <c r="R114" s="4"/>
    </row>
    <row r="115" spans="2:18" ht="15" customHeight="1" x14ac:dyDescent="0.25">
      <c r="B115" s="4"/>
      <c r="C115" s="4"/>
      <c r="D115" s="4"/>
      <c r="E115" s="4"/>
      <c r="F115" s="4"/>
      <c r="G115" s="4"/>
      <c r="H115" s="4"/>
      <c r="I115" s="4"/>
      <c r="K115" s="4"/>
      <c r="L115" s="4"/>
      <c r="M115" s="4"/>
      <c r="N115" s="4"/>
      <c r="O115" s="4"/>
      <c r="P115" s="4"/>
      <c r="Q115" s="4"/>
      <c r="R115" s="4"/>
    </row>
    <row r="116" spans="2:18" ht="15" customHeight="1" x14ac:dyDescent="0.25">
      <c r="B116" s="4"/>
      <c r="C116" s="4"/>
      <c r="D116" s="4"/>
      <c r="E116" s="4"/>
      <c r="F116" s="4"/>
      <c r="G116" s="4"/>
      <c r="H116" s="4"/>
      <c r="I116" s="4"/>
      <c r="K116" s="4"/>
      <c r="L116" s="4"/>
      <c r="M116" s="4"/>
      <c r="N116" s="4"/>
      <c r="O116" s="4"/>
      <c r="P116" s="4"/>
      <c r="Q116" s="4"/>
      <c r="R116" s="4"/>
    </row>
    <row r="117" spans="2:18" ht="15" customHeight="1" x14ac:dyDescent="0.25">
      <c r="B117" s="4"/>
      <c r="C117" s="4"/>
      <c r="D117" s="4"/>
      <c r="E117" s="4"/>
      <c r="F117" s="4"/>
      <c r="G117" s="4"/>
      <c r="H117" s="4"/>
      <c r="I117" s="4"/>
      <c r="K117" s="4"/>
      <c r="L117" s="4"/>
      <c r="M117" s="4"/>
      <c r="N117" s="4"/>
      <c r="O117" s="4"/>
      <c r="P117" s="4"/>
      <c r="Q117" s="4"/>
      <c r="R117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M3:BE82"/>
  <sheetViews>
    <sheetView workbookViewId="0">
      <selection activeCell="BP16" sqref="BP16"/>
    </sheetView>
  </sheetViews>
  <sheetFormatPr defaultColWidth="1.42578125" defaultRowHeight="7.5" customHeight="1" x14ac:dyDescent="0.25"/>
  <sheetData>
    <row r="3" spans="13:57" ht="7.5" customHeight="1" x14ac:dyDescent="0.25">
      <c r="M3" s="11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3"/>
    </row>
    <row r="4" spans="13:57" ht="7.5" customHeight="1" x14ac:dyDescent="0.25">
      <c r="M4" s="14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3"/>
    </row>
    <row r="5" spans="13:57" ht="7.5" customHeight="1" x14ac:dyDescent="0.25">
      <c r="M5" s="14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3"/>
    </row>
    <row r="6" spans="13:57" ht="7.5" customHeight="1" x14ac:dyDescent="0.25">
      <c r="M6" s="14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3"/>
    </row>
    <row r="7" spans="13:57" ht="7.5" customHeight="1" x14ac:dyDescent="0.25">
      <c r="M7" s="14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3"/>
    </row>
    <row r="8" spans="13:57" ht="7.5" customHeight="1" x14ac:dyDescent="0.25">
      <c r="M8" s="14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3"/>
    </row>
    <row r="9" spans="13:57" ht="7.5" customHeight="1" x14ac:dyDescent="0.25">
      <c r="M9" s="14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3"/>
    </row>
    <row r="10" spans="13:57" ht="7.5" customHeight="1" x14ac:dyDescent="0.25">
      <c r="M10" s="14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3"/>
    </row>
    <row r="11" spans="13:57" ht="7.5" customHeight="1" x14ac:dyDescent="0.25">
      <c r="M11" s="14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3"/>
    </row>
    <row r="12" spans="13:57" ht="7.5" customHeight="1" x14ac:dyDescent="0.25">
      <c r="M12" s="14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3"/>
    </row>
    <row r="13" spans="13:57" ht="7.5" customHeight="1" x14ac:dyDescent="0.25">
      <c r="M13" s="14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3"/>
    </row>
    <row r="14" spans="13:57" ht="7.5" customHeight="1" x14ac:dyDescent="0.25">
      <c r="M14" s="14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3"/>
    </row>
    <row r="15" spans="13:57" ht="7.5" customHeight="1" x14ac:dyDescent="0.25">
      <c r="M15" s="14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3"/>
    </row>
    <row r="16" spans="13:57" ht="7.5" customHeight="1" x14ac:dyDescent="0.25">
      <c r="M16" s="14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3"/>
    </row>
    <row r="17" spans="13:57" ht="7.5" customHeight="1" x14ac:dyDescent="0.25">
      <c r="M17" s="14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3"/>
    </row>
    <row r="18" spans="13:57" ht="7.5" customHeight="1" x14ac:dyDescent="0.25">
      <c r="M18" s="14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3"/>
    </row>
    <row r="19" spans="13:57" ht="7.5" customHeight="1" x14ac:dyDescent="0.25">
      <c r="M19" s="14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3"/>
    </row>
    <row r="20" spans="13:57" ht="7.5" customHeight="1" x14ac:dyDescent="0.25">
      <c r="M20" s="14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3"/>
    </row>
    <row r="21" spans="13:57" ht="7.5" customHeight="1" x14ac:dyDescent="0.25">
      <c r="M21" s="14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3"/>
    </row>
    <row r="22" spans="13:57" ht="7.5" customHeight="1" x14ac:dyDescent="0.25">
      <c r="M22" s="14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3"/>
    </row>
    <row r="23" spans="13:57" ht="7.5" customHeight="1" x14ac:dyDescent="0.25">
      <c r="M23" s="14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3"/>
    </row>
    <row r="24" spans="13:57" ht="7.5" customHeight="1" x14ac:dyDescent="0.25">
      <c r="M24" s="14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3"/>
    </row>
    <row r="25" spans="13:57" ht="7.5" customHeight="1" x14ac:dyDescent="0.25">
      <c r="M25" s="14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3"/>
    </row>
    <row r="26" spans="13:57" ht="7.5" customHeight="1" x14ac:dyDescent="0.25">
      <c r="M26" s="14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3"/>
    </row>
    <row r="27" spans="13:57" ht="7.5" customHeight="1" x14ac:dyDescent="0.25">
      <c r="M27" s="14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3"/>
    </row>
    <row r="28" spans="13:57" ht="7.5" customHeight="1" x14ac:dyDescent="0.25">
      <c r="M28" s="14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3"/>
    </row>
    <row r="29" spans="13:57" ht="7.5" customHeight="1" x14ac:dyDescent="0.25">
      <c r="M29" s="14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3"/>
    </row>
    <row r="30" spans="13:57" ht="7.5" customHeight="1" x14ac:dyDescent="0.25">
      <c r="M30" s="14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3"/>
    </row>
    <row r="31" spans="13:57" ht="7.5" customHeight="1" x14ac:dyDescent="0.25">
      <c r="M31" s="14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3"/>
    </row>
    <row r="32" spans="13:57" ht="7.5" customHeight="1" x14ac:dyDescent="0.25">
      <c r="M32" s="14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3"/>
    </row>
    <row r="33" spans="13:57" ht="7.5" customHeight="1" x14ac:dyDescent="0.25">
      <c r="M33" s="14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3"/>
    </row>
    <row r="34" spans="13:57" ht="7.5" customHeight="1" x14ac:dyDescent="0.25">
      <c r="M34" s="1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3"/>
    </row>
    <row r="35" spans="13:57" ht="7.5" customHeight="1" x14ac:dyDescent="0.25">
      <c r="M35" s="14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3"/>
    </row>
    <row r="36" spans="13:57" ht="7.5" customHeight="1" x14ac:dyDescent="0.25">
      <c r="M36" s="14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3"/>
    </row>
    <row r="37" spans="13:57" ht="7.5" customHeight="1" x14ac:dyDescent="0.25">
      <c r="M37" s="14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3"/>
    </row>
    <row r="38" spans="13:57" ht="7.5" customHeight="1" x14ac:dyDescent="0.25">
      <c r="M38" s="14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3"/>
    </row>
    <row r="39" spans="13:57" ht="7.5" customHeight="1" x14ac:dyDescent="0.25">
      <c r="M39" s="14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3"/>
    </row>
    <row r="40" spans="13:57" ht="7.5" customHeight="1" x14ac:dyDescent="0.25">
      <c r="M40" s="14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3"/>
    </row>
    <row r="41" spans="13:57" ht="7.5" customHeight="1" x14ac:dyDescent="0.25">
      <c r="M41" s="14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3"/>
    </row>
    <row r="42" spans="13:57" ht="7.5" customHeight="1" x14ac:dyDescent="0.25">
      <c r="M42" s="14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3"/>
    </row>
    <row r="43" spans="13:57" ht="7.5" customHeight="1" x14ac:dyDescent="0.25">
      <c r="M43" s="14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3"/>
    </row>
    <row r="44" spans="13:57" ht="7.5" customHeight="1" x14ac:dyDescent="0.25">
      <c r="M44" s="14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3"/>
    </row>
    <row r="45" spans="13:57" ht="7.5" customHeight="1" x14ac:dyDescent="0.25">
      <c r="M45" s="14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3"/>
    </row>
    <row r="46" spans="13:57" ht="7.5" customHeight="1" x14ac:dyDescent="0.25">
      <c r="M46" s="14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3"/>
    </row>
    <row r="47" spans="13:57" ht="7.5" customHeight="1" x14ac:dyDescent="0.25">
      <c r="M47" s="14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3"/>
    </row>
    <row r="48" spans="13:57" ht="7.5" customHeight="1" x14ac:dyDescent="0.25">
      <c r="M48" s="1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3"/>
    </row>
    <row r="49" spans="13:57" ht="7.5" customHeight="1" x14ac:dyDescent="0.25">
      <c r="M49" s="14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3"/>
    </row>
    <row r="50" spans="13:57" ht="7.5" customHeight="1" x14ac:dyDescent="0.25">
      <c r="M50" s="14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3"/>
    </row>
    <row r="51" spans="13:57" ht="7.5" customHeight="1" x14ac:dyDescent="0.25">
      <c r="M51" s="14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3"/>
    </row>
    <row r="52" spans="13:57" ht="7.5" customHeight="1" x14ac:dyDescent="0.25">
      <c r="M52" s="14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3"/>
    </row>
    <row r="53" spans="13:57" ht="7.5" customHeight="1" x14ac:dyDescent="0.25">
      <c r="M53" s="14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3"/>
    </row>
    <row r="54" spans="13:57" ht="7.5" customHeight="1" x14ac:dyDescent="0.25">
      <c r="M54" s="14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3"/>
    </row>
    <row r="55" spans="13:57" ht="7.5" customHeight="1" x14ac:dyDescent="0.25">
      <c r="M55" s="14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3"/>
    </row>
    <row r="56" spans="13:57" ht="7.5" customHeight="1" x14ac:dyDescent="0.25">
      <c r="M56" s="14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3"/>
    </row>
    <row r="57" spans="13:57" ht="7.5" customHeight="1" x14ac:dyDescent="0.25">
      <c r="M57" s="14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3"/>
    </row>
    <row r="58" spans="13:57" ht="7.5" customHeight="1" x14ac:dyDescent="0.25">
      <c r="M58" s="14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3"/>
    </row>
    <row r="59" spans="13:57" ht="7.5" customHeight="1" x14ac:dyDescent="0.25">
      <c r="M59" s="14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3"/>
    </row>
    <row r="60" spans="13:57" ht="7.5" customHeight="1" x14ac:dyDescent="0.25">
      <c r="M60" s="14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3"/>
    </row>
    <row r="61" spans="13:57" ht="7.5" customHeight="1" x14ac:dyDescent="0.25">
      <c r="M61" s="14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3"/>
    </row>
    <row r="62" spans="13:57" ht="7.5" customHeight="1" x14ac:dyDescent="0.25">
      <c r="M62" s="14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3"/>
    </row>
    <row r="63" spans="13:57" ht="7.5" customHeight="1" x14ac:dyDescent="0.25">
      <c r="M63" s="14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3"/>
    </row>
    <row r="64" spans="13:57" ht="7.5" customHeight="1" x14ac:dyDescent="0.25">
      <c r="M64" s="14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3"/>
    </row>
    <row r="65" spans="13:57" ht="7.5" customHeight="1" x14ac:dyDescent="0.25">
      <c r="M65" s="14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3"/>
    </row>
    <row r="66" spans="13:57" ht="7.5" customHeight="1" x14ac:dyDescent="0.25">
      <c r="M66" s="14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3"/>
    </row>
    <row r="67" spans="13:57" ht="7.5" customHeight="1" x14ac:dyDescent="0.25">
      <c r="M67" s="14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3"/>
    </row>
    <row r="68" spans="13:57" ht="7.5" customHeight="1" x14ac:dyDescent="0.25">
      <c r="M68" s="14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3"/>
    </row>
    <row r="69" spans="13:57" ht="7.5" customHeight="1" x14ac:dyDescent="0.25">
      <c r="M69" s="14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3"/>
    </row>
    <row r="70" spans="13:57" ht="7.5" customHeight="1" x14ac:dyDescent="0.25">
      <c r="M70" s="14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3"/>
    </row>
    <row r="71" spans="13:57" ht="7.5" customHeight="1" x14ac:dyDescent="0.25">
      <c r="M71" s="14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3"/>
    </row>
    <row r="72" spans="13:57" ht="7.5" customHeight="1" x14ac:dyDescent="0.25">
      <c r="M72" s="14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3"/>
    </row>
    <row r="73" spans="13:57" ht="7.5" customHeight="1" x14ac:dyDescent="0.25">
      <c r="M73" s="14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3"/>
    </row>
    <row r="74" spans="13:57" ht="7.5" customHeight="1" x14ac:dyDescent="0.25">
      <c r="M74" s="14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3"/>
    </row>
    <row r="75" spans="13:57" ht="7.5" customHeight="1" x14ac:dyDescent="0.25">
      <c r="M75" s="14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3"/>
    </row>
    <row r="76" spans="13:57" ht="7.5" customHeight="1" x14ac:dyDescent="0.25">
      <c r="M76" s="14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3"/>
    </row>
    <row r="77" spans="13:57" ht="7.5" customHeight="1" x14ac:dyDescent="0.25">
      <c r="M77" s="14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3"/>
    </row>
    <row r="78" spans="13:57" ht="7.5" customHeight="1" x14ac:dyDescent="0.25">
      <c r="M78" s="14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3"/>
    </row>
    <row r="79" spans="13:57" ht="7.5" customHeight="1" x14ac:dyDescent="0.25">
      <c r="M79" s="14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3"/>
    </row>
    <row r="80" spans="13:57" ht="7.5" customHeight="1" x14ac:dyDescent="0.25">
      <c r="M80" s="14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3"/>
    </row>
    <row r="81" spans="13:57" ht="7.5" customHeight="1" x14ac:dyDescent="0.25">
      <c r="M81" s="14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3"/>
    </row>
    <row r="82" spans="13:57" ht="7.5" customHeight="1" x14ac:dyDescent="0.25">
      <c r="M82" s="16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2</vt:lpstr>
      <vt:lpstr>Лист1</vt:lpstr>
      <vt:lpstr>Лист2</vt:lpstr>
      <vt:lpstr>templates</vt:lpstr>
      <vt:lpstr>Лист3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madina</cp:lastModifiedBy>
  <dcterms:created xsi:type="dcterms:W3CDTF">2020-10-26T13:58:30Z</dcterms:created>
  <dcterms:modified xsi:type="dcterms:W3CDTF">2021-10-30T15:10:58Z</dcterms:modified>
</cp:coreProperties>
</file>